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W star" sheetId="2" state="visible" r:id="rId2"/>
    <sheet name="Fractions" sheetId="3" state="visible" r:id="rId3"/>
    <sheet name="Transport" sheetId="4" state="visible" r:id="rId4"/>
    <sheet name="An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Constant</t>
        </is>
      </c>
      <c r="B1" s="1" t="inlineStr">
        <is>
          <t>Value</t>
        </is>
      </c>
    </row>
    <row r="2">
      <c r="A2" t="inlineStr">
        <is>
          <t>g (m/s2)</t>
        </is>
      </c>
      <c r="B2" t="n">
        <v>9.81</v>
      </c>
    </row>
    <row r="3">
      <c r="A3" t="inlineStr">
        <is>
          <t>rho_w (kg/m3)</t>
        </is>
      </c>
      <c r="B3" t="n">
        <v>1000</v>
      </c>
    </row>
    <row r="4">
      <c r="A4" t="inlineStr">
        <is>
          <t>rho_s (kg/m3)</t>
        </is>
      </c>
      <c r="B4" t="n">
        <v>2650</v>
      </c>
    </row>
    <row r="5">
      <c r="A5" t="inlineStr">
        <is>
          <t>h, flow depth (m)</t>
        </is>
      </c>
      <c r="B5" t="n">
        <v>0.5</v>
      </c>
    </row>
    <row r="6">
      <c r="A6" t="inlineStr">
        <is>
          <t>B, bed width (m)</t>
        </is>
      </c>
      <c r="B6" t="n">
        <v>50</v>
      </c>
    </row>
    <row r="7">
      <c r="A7" t="inlineStr">
        <is>
          <t>n, Manning</t>
        </is>
      </c>
      <c r="B7" t="n">
        <v>0.05</v>
      </c>
    </row>
    <row r="8">
      <c r="A8" t="inlineStr">
        <is>
          <t>D50 (m)</t>
        </is>
      </c>
      <c r="B8" t="n">
        <v>0.02</v>
      </c>
    </row>
    <row r="9">
      <c r="A9" t="inlineStr">
        <is>
          <t>Fs, sand fraction</t>
        </is>
      </c>
      <c r="B9" t="n">
        <v>0.1</v>
      </c>
    </row>
    <row r="10">
      <c r="A10" t="inlineStr">
        <is>
          <t>phi break</t>
        </is>
      </c>
      <c r="B10" t="n">
        <v>1.35</v>
      </c>
    </row>
    <row r="11">
      <c r="A11" t="inlineStr">
        <is>
          <t>Seconds per year (365.25 d)</t>
        </is>
      </c>
      <c r="B11" t="n">
        <v>31557600</v>
      </c>
    </row>
    <row r="12">
      <c r="A12" t="inlineStr">
        <is>
          <t>s = rho_s / rho_w</t>
        </is>
      </c>
      <c r="B12">
        <f>B4/B3</f>
        <v/>
      </c>
    </row>
    <row r="13">
      <c r="A13" t="inlineStr">
        <is>
          <t>tau_rm* = 0.021 + 0.015 exp(-20 Fs)</t>
        </is>
      </c>
      <c r="B13">
        <f>0.021+0.015*EXP(-20*B9)</f>
        <v/>
      </c>
    </row>
    <row r="14">
      <c r="A14" t="inlineStr">
        <is>
          <t>Mass factor rho_s / 1000 (t/m3)</t>
        </is>
      </c>
      <c r="B14">
        <f>B4/1000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0" customWidth="1" min="4" max="4"/>
  </cols>
  <sheetData>
    <row r="1">
      <c r="A1" s="1" t="inlineStr">
        <is>
          <t>phi</t>
        </is>
      </c>
      <c r="B1" s="1" t="inlineStr">
        <is>
          <t>W* (published)</t>
        </is>
      </c>
      <c r="C1" s="1" t="inlineStr">
        <is>
          <t>Low branch 0.002 phi^7.5</t>
        </is>
      </c>
      <c r="D1" s="1" t="inlineStr">
        <is>
          <t>High branch 14 (1 - 0.894/sqrt(phi))^4.5</t>
        </is>
      </c>
    </row>
    <row r="2">
      <c r="A2" t="n">
        <v>0</v>
      </c>
      <c r="B2">
        <f>IF(A2&lt;=0,0,IF(A2&lt;Constants!$B$10,C2,D2))</f>
        <v/>
      </c>
      <c r="C2">
        <f>0.002*A2^7.5</f>
        <v/>
      </c>
      <c r="D2">
        <f>IF(A2&gt;0,14*(1-0.894/SQRT(A2))^4.5,0)</f>
        <v/>
      </c>
    </row>
    <row r="3">
      <c r="A3" t="n">
        <v>0.1</v>
      </c>
      <c r="B3">
        <f>IF(A3&lt;=0,0,IF(A3&lt;Constants!$B$10,C3,D3))</f>
        <v/>
      </c>
      <c r="C3">
        <f>0.002*A3^7.5</f>
        <v/>
      </c>
      <c r="D3">
        <f>IF(A3&gt;0,14*(1-0.894/SQRT(A3))^4.5,0)</f>
        <v/>
      </c>
    </row>
    <row r="4">
      <c r="A4" t="n">
        <v>0.5</v>
      </c>
      <c r="B4">
        <f>IF(A4&lt;=0,0,IF(A4&lt;Constants!$B$10,C4,D4))</f>
        <v/>
      </c>
      <c r="C4">
        <f>0.002*A4^7.5</f>
        <v/>
      </c>
      <c r="D4">
        <f>IF(A4&gt;0,14*(1-0.894/SQRT(A4))^4.5,0)</f>
        <v/>
      </c>
    </row>
    <row r="5">
      <c r="A5" t="n">
        <v>1</v>
      </c>
      <c r="B5">
        <f>IF(A5&lt;=0,0,IF(A5&lt;Constants!$B$10,C5,D5))</f>
        <v/>
      </c>
      <c r="C5">
        <f>0.002*A5^7.5</f>
        <v/>
      </c>
      <c r="D5">
        <f>IF(A5&gt;0,14*(1-0.894/SQRT(A5))^4.5,0)</f>
        <v/>
      </c>
    </row>
    <row r="6">
      <c r="A6" t="n">
        <v>1.3</v>
      </c>
      <c r="B6">
        <f>IF(A6&lt;=0,0,IF(A6&lt;Constants!$B$10,C6,D6))</f>
        <v/>
      </c>
      <c r="C6">
        <f>0.002*A6^7.5</f>
        <v/>
      </c>
      <c r="D6">
        <f>IF(A6&gt;0,14*(1-0.894/SQRT(A6))^4.5,0)</f>
        <v/>
      </c>
    </row>
    <row r="7">
      <c r="A7" t="n">
        <v>1.35</v>
      </c>
      <c r="B7">
        <f>IF(A7&lt;=0,0,IF(A7&lt;Constants!$B$10,C7,D7))</f>
        <v/>
      </c>
      <c r="C7">
        <f>0.002*A7^7.5</f>
        <v/>
      </c>
      <c r="D7">
        <f>IF(A7&gt;0,14*(1-0.894/SQRT(A7))^4.5,0)</f>
        <v/>
      </c>
    </row>
    <row r="8">
      <c r="A8" t="n">
        <v>1.5</v>
      </c>
      <c r="B8">
        <f>IF(A8&lt;=0,0,IF(A8&lt;Constants!$B$10,C8,D8))</f>
        <v/>
      </c>
      <c r="C8">
        <f>0.002*A8^7.5</f>
        <v/>
      </c>
      <c r="D8">
        <f>IF(A8&gt;0,14*(1-0.894/SQRT(A8))^4.5,0)</f>
        <v/>
      </c>
    </row>
    <row r="9">
      <c r="A9" t="n">
        <v>2</v>
      </c>
      <c r="B9">
        <f>IF(A9&lt;=0,0,IF(A9&lt;Constants!$B$10,C9,D9))</f>
        <v/>
      </c>
      <c r="C9">
        <f>0.002*A9^7.5</f>
        <v/>
      </c>
      <c r="D9">
        <f>IF(A9&gt;0,14*(1-0.894/SQRT(A9))^4.5,0)</f>
        <v/>
      </c>
    </row>
    <row r="10">
      <c r="A10" t="n">
        <v>4</v>
      </c>
      <c r="B10">
        <f>IF(A10&lt;=0,0,IF(A10&lt;Constants!$B$10,C10,D10))</f>
        <v/>
      </c>
      <c r="C10">
        <f>0.002*A10^7.5</f>
        <v/>
      </c>
      <c r="D10">
        <f>IF(A10&gt;0,14*(1-0.894/SQRT(A10))^4.5,0)</f>
        <v/>
      </c>
    </row>
    <row r="11">
      <c r="A11" t="n">
        <v>10</v>
      </c>
      <c r="B11">
        <f>IF(A11&lt;=0,0,IF(A11&lt;Constants!$B$10,C11,D11))</f>
        <v/>
      </c>
      <c r="C11">
        <f>0.002*A11^7.5</f>
        <v/>
      </c>
      <c r="D11">
        <f>IF(A11&gt;0,14*(1-0.894/SQRT(A11))^4.5,0)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38" customWidth="1" min="4" max="4"/>
    <col width="30" customWidth="1" min="5" max="5"/>
    <col width="38" customWidth="1" min="6" max="6"/>
  </cols>
  <sheetData>
    <row r="1">
      <c r="A1" s="1" t="inlineStr">
        <is>
          <t>di (m)</t>
        </is>
      </c>
      <c r="B1" s="1" t="inlineStr">
        <is>
          <t>Fi</t>
        </is>
      </c>
      <c r="C1" s="1" t="inlineStr">
        <is>
          <t>di / D50</t>
        </is>
      </c>
      <c r="D1" s="1" t="inlineStr">
        <is>
          <t>b_i = 0.67 / (1 + exp(1.5 - di/D50))</t>
        </is>
      </c>
      <c r="E1" s="1" t="inlineStr">
        <is>
          <t>tau_ri* = tau_rm* (di/D50)^b_i</t>
        </is>
      </c>
      <c r="F1" s="1" t="inlineStr">
        <is>
          <t>tau_ri = tau_ri* (s-1) rho_w g di (Pa)</t>
        </is>
      </c>
      <c r="H1" t="inlineStr">
        <is>
          <t>Rows without Fi only check tau_ri.</t>
        </is>
      </c>
    </row>
    <row r="2">
      <c r="A2" t="n">
        <v>0.004</v>
      </c>
      <c r="B2" t="n">
        <v>0.1</v>
      </c>
      <c r="C2">
        <f>A2/Constants!$B$8</f>
        <v/>
      </c>
      <c r="D2">
        <f>0.67/(1+EXP(1.5-C2))</f>
        <v/>
      </c>
      <c r="E2">
        <f>Constants!$B$13*C2^D2</f>
        <v/>
      </c>
      <c r="F2">
        <f>E2*(Constants!$B$12-1)*Constants!$B$3*Constants!$B$2*A2</f>
        <v/>
      </c>
    </row>
    <row r="3">
      <c r="A3" t="n">
        <v>0.01</v>
      </c>
      <c r="B3" t="n">
        <v>0.2</v>
      </c>
      <c r="C3">
        <f>A3/Constants!$B$8</f>
        <v/>
      </c>
      <c r="D3">
        <f>0.67/(1+EXP(1.5-C3))</f>
        <v/>
      </c>
      <c r="E3">
        <f>Constants!$B$13*C3^D3</f>
        <v/>
      </c>
      <c r="F3">
        <f>E3*(Constants!$B$12-1)*Constants!$B$3*Constants!$B$2*A3</f>
        <v/>
      </c>
    </row>
    <row r="4">
      <c r="A4" t="n">
        <v>0.02</v>
      </c>
      <c r="B4" t="n">
        <v>0.35</v>
      </c>
      <c r="C4">
        <f>A4/Constants!$B$8</f>
        <v/>
      </c>
      <c r="D4">
        <f>0.67/(1+EXP(1.5-C4))</f>
        <v/>
      </c>
      <c r="E4">
        <f>Constants!$B$13*C4^D4</f>
        <v/>
      </c>
      <c r="F4">
        <f>E4*(Constants!$B$12-1)*Constants!$B$3*Constants!$B$2*A4</f>
        <v/>
      </c>
    </row>
    <row r="5">
      <c r="A5" t="n">
        <v>0.032</v>
      </c>
      <c r="B5" t="n">
        <v>0.25</v>
      </c>
      <c r="C5">
        <f>A5/Constants!$B$8</f>
        <v/>
      </c>
      <c r="D5">
        <f>0.67/(1+EXP(1.5-C5))</f>
        <v/>
      </c>
      <c r="E5">
        <f>Constants!$B$13*C5^D5</f>
        <v/>
      </c>
      <c r="F5">
        <f>E5*(Constants!$B$12-1)*Constants!$B$3*Constants!$B$2*A5</f>
        <v/>
      </c>
    </row>
    <row r="6">
      <c r="A6" t="n">
        <v>0.05</v>
      </c>
      <c r="B6" t="n">
        <v>0.1</v>
      </c>
      <c r="C6">
        <f>A6/Constants!$B$8</f>
        <v/>
      </c>
      <c r="D6">
        <f>0.67/(1+EXP(1.5-C6))</f>
        <v/>
      </c>
      <c r="E6">
        <f>Constants!$B$13*C6^D6</f>
        <v/>
      </c>
      <c r="F6">
        <f>E6*(Constants!$B$12-1)*Constants!$B$3*Constants!$B$2*A6</f>
        <v/>
      </c>
    </row>
    <row r="7">
      <c r="A7" t="n">
        <v>0.001</v>
      </c>
      <c r="C7">
        <f>A7/Constants!$B$8</f>
        <v/>
      </c>
      <c r="D7">
        <f>0.67/(1+EXP(1.5-C7))</f>
        <v/>
      </c>
      <c r="E7">
        <f>Constants!$B$13*C7^D7</f>
        <v/>
      </c>
      <c r="F7">
        <f>E7*(Constants!$B$12-1)*Constants!$B$3*Constants!$B$2*A7</f>
        <v/>
      </c>
    </row>
    <row r="8">
      <c r="A8" t="n">
        <v>0.1</v>
      </c>
      <c r="C8">
        <f>A8/Constants!$B$8</f>
        <v/>
      </c>
      <c r="D8">
        <f>0.67/(1+EXP(1.5-C8))</f>
        <v/>
      </c>
      <c r="E8">
        <f>Constants!$B$13*C8^D8</f>
        <v/>
      </c>
      <c r="F8">
        <f>E8*(Constants!$B$12-1)*Constants!$B$3*Constants!$B$2*A8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14" customWidth="1" min="4" max="4"/>
    <col width="34" customWidth="1" min="5" max="5"/>
    <col width="22" customWidth="1" min="6" max="6"/>
    <col width="12" customWidth="1" min="7" max="7"/>
    <col width="16" customWidth="1" min="8" max="8"/>
    <col width="8" customWidth="1" min="9" max="9"/>
    <col width="28" customWidth="1" min="10" max="10"/>
    <col width="10" customWidth="1" min="12" max="12"/>
    <col width="26" customWidth="1" min="13" max="13"/>
  </cols>
  <sheetData>
    <row r="1">
      <c r="A1" s="1" t="inlineStr">
        <is>
          <t>Q (m3/s)</t>
        </is>
      </c>
      <c r="B1" s="1" t="inlineStr">
        <is>
          <t>di (m)</t>
        </is>
      </c>
      <c r="C1" s="1" t="inlineStr">
        <is>
          <t>Fi</t>
        </is>
      </c>
      <c r="D1" s="1" t="inlineStr">
        <is>
          <t>v = Q / (B h)</t>
        </is>
      </c>
      <c r="E1" s="1" t="inlineStr">
        <is>
          <t>tau = rho_w g n^2 v^2 / h^(1/3) (Pa)</t>
        </is>
      </c>
      <c r="F1" s="1" t="inlineStr">
        <is>
          <t>u* = sqrt(tau / rho_w)</t>
        </is>
      </c>
      <c r="G1" s="1" t="inlineStr">
        <is>
          <t>tau_ri (Pa)</t>
        </is>
      </c>
      <c r="H1" s="1" t="inlineStr">
        <is>
          <t>phi = tau / tau_ri</t>
        </is>
      </c>
      <c r="I1" s="1" t="inlineStr">
        <is>
          <t>W*</t>
        </is>
      </c>
      <c r="J1" s="1" t="inlineStr">
        <is>
          <t>q_bi = W* Fi u*^3 / ((s-1) g)</t>
        </is>
      </c>
      <c r="L1" s="1" t="inlineStr">
        <is>
          <t>Q (m3/s)</t>
        </is>
      </c>
      <c r="M1" s="1" t="inlineStr">
        <is>
          <t>q_b = sum of q_bi (m2/s)</t>
        </is>
      </c>
    </row>
    <row r="2">
      <c r="A2" t="n">
        <v>0</v>
      </c>
      <c r="B2">
        <f>Fractions!$A$2</f>
        <v/>
      </c>
      <c r="C2">
        <f>Fractions!$B$2</f>
        <v/>
      </c>
      <c r="D2">
        <f>A2/(Constants!$B$6*Constants!$B$5)</f>
        <v/>
      </c>
      <c r="E2">
        <f>Constants!$B$3*Constants!$B$2*Constants!$B$7^2*D2^2/Constants!$B$5^(1/3)</f>
        <v/>
      </c>
      <c r="F2">
        <f>SQRT(E2/Constants!$B$3)</f>
        <v/>
      </c>
      <c r="G2">
        <f>Fractions!$F$2</f>
        <v/>
      </c>
      <c r="H2">
        <f>E2/G2</f>
        <v/>
      </c>
      <c r="I2">
        <f>IF(H2&lt;=0,0,IF(H2&lt;Constants!$B$10,0.002*H2^7.5,14*(1-0.894/SQRT(H2))^4.5))</f>
        <v/>
      </c>
      <c r="J2">
        <f>I2*C2*F2^3/((Constants!$B$12-1)*Constants!$B$2)</f>
        <v/>
      </c>
      <c r="L2" t="n">
        <v>0</v>
      </c>
      <c r="M2">
        <f>SUMIF($A$2:$A$41,L2,$J$2:$J$41)</f>
        <v/>
      </c>
    </row>
    <row r="3">
      <c r="A3" t="n">
        <v>0</v>
      </c>
      <c r="B3">
        <f>Fractions!$A$3</f>
        <v/>
      </c>
      <c r="C3">
        <f>Fractions!$B$3</f>
        <v/>
      </c>
      <c r="D3">
        <f>A3/(Constants!$B$6*Constants!$B$5)</f>
        <v/>
      </c>
      <c r="E3">
        <f>Constants!$B$3*Constants!$B$2*Constants!$B$7^2*D3^2/Constants!$B$5^(1/3)</f>
        <v/>
      </c>
      <c r="F3">
        <f>SQRT(E3/Constants!$B$3)</f>
        <v/>
      </c>
      <c r="G3">
        <f>Fractions!$F$3</f>
        <v/>
      </c>
      <c r="H3">
        <f>E3/G3</f>
        <v/>
      </c>
      <c r="I3">
        <f>IF(H3&lt;=0,0,IF(H3&lt;Constants!$B$10,0.002*H3^7.5,14*(1-0.894/SQRT(H3))^4.5))</f>
        <v/>
      </c>
      <c r="J3">
        <f>I3*C3*F3^3/((Constants!$B$12-1)*Constants!$B$2)</f>
        <v/>
      </c>
      <c r="L3" t="n">
        <v>5</v>
      </c>
      <c r="M3">
        <f>SUMIF($A$2:$A$41,L3,$J$2:$J$41)</f>
        <v/>
      </c>
    </row>
    <row r="4">
      <c r="A4" t="n">
        <v>0</v>
      </c>
      <c r="B4">
        <f>Fractions!$A$4</f>
        <v/>
      </c>
      <c r="C4">
        <f>Fractions!$B$4</f>
        <v/>
      </c>
      <c r="D4">
        <f>A4/(Constants!$B$6*Constants!$B$5)</f>
        <v/>
      </c>
      <c r="E4">
        <f>Constants!$B$3*Constants!$B$2*Constants!$B$7^2*D4^2/Constants!$B$5^(1/3)</f>
        <v/>
      </c>
      <c r="F4">
        <f>SQRT(E4/Constants!$B$3)</f>
        <v/>
      </c>
      <c r="G4">
        <f>Fractions!$F$4</f>
        <v/>
      </c>
      <c r="H4">
        <f>E4/G4</f>
        <v/>
      </c>
      <c r="I4">
        <f>IF(H4&lt;=0,0,IF(H4&lt;Constants!$B$10,0.002*H4^7.5,14*(1-0.894/SQRT(H4))^4.5))</f>
        <v/>
      </c>
      <c r="J4">
        <f>I4*C4*F4^3/((Constants!$B$12-1)*Constants!$B$2)</f>
        <v/>
      </c>
      <c r="L4" t="n">
        <v>10</v>
      </c>
      <c r="M4">
        <f>SUMIF($A$2:$A$41,L4,$J$2:$J$41)</f>
        <v/>
      </c>
    </row>
    <row r="5">
      <c r="A5" t="n">
        <v>0</v>
      </c>
      <c r="B5">
        <f>Fractions!$A$5</f>
        <v/>
      </c>
      <c r="C5">
        <f>Fractions!$B$5</f>
        <v/>
      </c>
      <c r="D5">
        <f>A5/(Constants!$B$6*Constants!$B$5)</f>
        <v/>
      </c>
      <c r="E5">
        <f>Constants!$B$3*Constants!$B$2*Constants!$B$7^2*D5^2/Constants!$B$5^(1/3)</f>
        <v/>
      </c>
      <c r="F5">
        <f>SQRT(E5/Constants!$B$3)</f>
        <v/>
      </c>
      <c r="G5">
        <f>Fractions!$F$5</f>
        <v/>
      </c>
      <c r="H5">
        <f>E5/G5</f>
        <v/>
      </c>
      <c r="I5">
        <f>IF(H5&lt;=0,0,IF(H5&lt;Constants!$B$10,0.002*H5^7.5,14*(1-0.894/SQRT(H5))^4.5))</f>
        <v/>
      </c>
      <c r="J5">
        <f>I5*C5*F5^3/((Constants!$B$12-1)*Constants!$B$2)</f>
        <v/>
      </c>
      <c r="L5" t="n">
        <v>12.5</v>
      </c>
      <c r="M5">
        <f>SUMIF($A$2:$A$41,L5,$J$2:$J$41)</f>
        <v/>
      </c>
    </row>
    <row r="6">
      <c r="A6" t="n">
        <v>0</v>
      </c>
      <c r="B6">
        <f>Fractions!$A$6</f>
        <v/>
      </c>
      <c r="C6">
        <f>Fractions!$B$6</f>
        <v/>
      </c>
      <c r="D6">
        <f>A6/(Constants!$B$6*Constants!$B$5)</f>
        <v/>
      </c>
      <c r="E6">
        <f>Constants!$B$3*Constants!$B$2*Constants!$B$7^2*D6^2/Constants!$B$5^(1/3)</f>
        <v/>
      </c>
      <c r="F6">
        <f>SQRT(E6/Constants!$B$3)</f>
        <v/>
      </c>
      <c r="G6">
        <f>Fractions!$F$6</f>
        <v/>
      </c>
      <c r="H6">
        <f>E6/G6</f>
        <v/>
      </c>
      <c r="I6">
        <f>IF(H6&lt;=0,0,IF(H6&lt;Constants!$B$10,0.002*H6^7.5,14*(1-0.894/SQRT(H6))^4.5))</f>
        <v/>
      </c>
      <c r="J6">
        <f>I6*C6*F6^3/((Constants!$B$12-1)*Constants!$B$2)</f>
        <v/>
      </c>
      <c r="L6" t="n">
        <v>15</v>
      </c>
      <c r="M6">
        <f>SUMIF($A$2:$A$41,L6,$J$2:$J$41)</f>
        <v/>
      </c>
    </row>
    <row r="7">
      <c r="A7" t="n">
        <v>5</v>
      </c>
      <c r="B7">
        <f>Fractions!$A$2</f>
        <v/>
      </c>
      <c r="C7">
        <f>Fractions!$B$2</f>
        <v/>
      </c>
      <c r="D7">
        <f>A7/(Constants!$B$6*Constants!$B$5)</f>
        <v/>
      </c>
      <c r="E7">
        <f>Constants!$B$3*Constants!$B$2*Constants!$B$7^2*D7^2/Constants!$B$5^(1/3)</f>
        <v/>
      </c>
      <c r="F7">
        <f>SQRT(E7/Constants!$B$3)</f>
        <v/>
      </c>
      <c r="G7">
        <f>Fractions!$F$2</f>
        <v/>
      </c>
      <c r="H7">
        <f>E7/G7</f>
        <v/>
      </c>
      <c r="I7">
        <f>IF(H7&lt;=0,0,IF(H7&lt;Constants!$B$10,0.002*H7^7.5,14*(1-0.894/SQRT(H7))^4.5))</f>
        <v/>
      </c>
      <c r="J7">
        <f>I7*C7*F7^3/((Constants!$B$12-1)*Constants!$B$2)</f>
        <v/>
      </c>
      <c r="L7" t="n">
        <v>25</v>
      </c>
      <c r="M7">
        <f>SUMIF($A$2:$A$41,L7,$J$2:$J$41)</f>
        <v/>
      </c>
    </row>
    <row r="8">
      <c r="A8" t="n">
        <v>5</v>
      </c>
      <c r="B8">
        <f>Fractions!$A$3</f>
        <v/>
      </c>
      <c r="C8">
        <f>Fractions!$B$3</f>
        <v/>
      </c>
      <c r="D8">
        <f>A8/(Constants!$B$6*Constants!$B$5)</f>
        <v/>
      </c>
      <c r="E8">
        <f>Constants!$B$3*Constants!$B$2*Constants!$B$7^2*D8^2/Constants!$B$5^(1/3)</f>
        <v/>
      </c>
      <c r="F8">
        <f>SQRT(E8/Constants!$B$3)</f>
        <v/>
      </c>
      <c r="G8">
        <f>Fractions!$F$3</f>
        <v/>
      </c>
      <c r="H8">
        <f>E8/G8</f>
        <v/>
      </c>
      <c r="I8">
        <f>IF(H8&lt;=0,0,IF(H8&lt;Constants!$B$10,0.002*H8^7.5,14*(1-0.894/SQRT(H8))^4.5))</f>
        <v/>
      </c>
      <c r="J8">
        <f>I8*C8*F8^3/((Constants!$B$12-1)*Constants!$B$2)</f>
        <v/>
      </c>
      <c r="L8" t="n">
        <v>50</v>
      </c>
      <c r="M8">
        <f>SUMIF($A$2:$A$41,L8,$J$2:$J$41)</f>
        <v/>
      </c>
    </row>
    <row r="9">
      <c r="A9" t="n">
        <v>5</v>
      </c>
      <c r="B9">
        <f>Fractions!$A$4</f>
        <v/>
      </c>
      <c r="C9">
        <f>Fractions!$B$4</f>
        <v/>
      </c>
      <c r="D9">
        <f>A9/(Constants!$B$6*Constants!$B$5)</f>
        <v/>
      </c>
      <c r="E9">
        <f>Constants!$B$3*Constants!$B$2*Constants!$B$7^2*D9^2/Constants!$B$5^(1/3)</f>
        <v/>
      </c>
      <c r="F9">
        <f>SQRT(E9/Constants!$B$3)</f>
        <v/>
      </c>
      <c r="G9">
        <f>Fractions!$F$4</f>
        <v/>
      </c>
      <c r="H9">
        <f>E9/G9</f>
        <v/>
      </c>
      <c r="I9">
        <f>IF(H9&lt;=0,0,IF(H9&lt;Constants!$B$10,0.002*H9^7.5,14*(1-0.894/SQRT(H9))^4.5))</f>
        <v/>
      </c>
      <c r="J9">
        <f>I9*C9*F9^3/((Constants!$B$12-1)*Constants!$B$2)</f>
        <v/>
      </c>
      <c r="L9" t="n">
        <v>100</v>
      </c>
      <c r="M9">
        <f>SUMIF($A$2:$A$41,L9,$J$2:$J$41)</f>
        <v/>
      </c>
    </row>
    <row r="10">
      <c r="A10" t="n">
        <v>5</v>
      </c>
      <c r="B10">
        <f>Fractions!$A$5</f>
        <v/>
      </c>
      <c r="C10">
        <f>Fractions!$B$5</f>
        <v/>
      </c>
      <c r="D10">
        <f>A10/(Constants!$B$6*Constants!$B$5)</f>
        <v/>
      </c>
      <c r="E10">
        <f>Constants!$B$3*Constants!$B$2*Constants!$B$7^2*D10^2/Constants!$B$5^(1/3)</f>
        <v/>
      </c>
      <c r="F10">
        <f>SQRT(E10/Constants!$B$3)</f>
        <v/>
      </c>
      <c r="G10">
        <f>Fractions!$F$5</f>
        <v/>
      </c>
      <c r="H10">
        <f>E10/G10</f>
        <v/>
      </c>
      <c r="I10">
        <f>IF(H10&lt;=0,0,IF(H10&lt;Constants!$B$10,0.002*H10^7.5,14*(1-0.894/SQRT(H10))^4.5))</f>
        <v/>
      </c>
      <c r="J10">
        <f>I10*C10*F10^3/((Constants!$B$12-1)*Constants!$B$2)</f>
        <v/>
      </c>
    </row>
    <row r="11">
      <c r="A11" t="n">
        <v>5</v>
      </c>
      <c r="B11">
        <f>Fractions!$A$6</f>
        <v/>
      </c>
      <c r="C11">
        <f>Fractions!$B$6</f>
        <v/>
      </c>
      <c r="D11">
        <f>A11/(Constants!$B$6*Constants!$B$5)</f>
        <v/>
      </c>
      <c r="E11">
        <f>Constants!$B$3*Constants!$B$2*Constants!$B$7^2*D11^2/Constants!$B$5^(1/3)</f>
        <v/>
      </c>
      <c r="F11">
        <f>SQRT(E11/Constants!$B$3)</f>
        <v/>
      </c>
      <c r="G11">
        <f>Fractions!$F$6</f>
        <v/>
      </c>
      <c r="H11">
        <f>E11/G11</f>
        <v/>
      </c>
      <c r="I11">
        <f>IF(H11&lt;=0,0,IF(H11&lt;Constants!$B$10,0.002*H11^7.5,14*(1-0.894/SQRT(H11))^4.5))</f>
        <v/>
      </c>
      <c r="J11">
        <f>I11*C11*F11^3/((Constants!$B$12-1)*Constants!$B$2)</f>
        <v/>
      </c>
    </row>
    <row r="12">
      <c r="A12" t="n">
        <v>10</v>
      </c>
      <c r="B12">
        <f>Fractions!$A$2</f>
        <v/>
      </c>
      <c r="C12">
        <f>Fractions!$B$2</f>
        <v/>
      </c>
      <c r="D12">
        <f>A12/(Constants!$B$6*Constants!$B$5)</f>
        <v/>
      </c>
      <c r="E12">
        <f>Constants!$B$3*Constants!$B$2*Constants!$B$7^2*D12^2/Constants!$B$5^(1/3)</f>
        <v/>
      </c>
      <c r="F12">
        <f>SQRT(E12/Constants!$B$3)</f>
        <v/>
      </c>
      <c r="G12">
        <f>Fractions!$F$2</f>
        <v/>
      </c>
      <c r="H12">
        <f>E12/G12</f>
        <v/>
      </c>
      <c r="I12">
        <f>IF(H12&lt;=0,0,IF(H12&lt;Constants!$B$10,0.002*H12^7.5,14*(1-0.894/SQRT(H12))^4.5))</f>
        <v/>
      </c>
      <c r="J12">
        <f>I12*C12*F12^3/((Constants!$B$12-1)*Constants!$B$2)</f>
        <v/>
      </c>
    </row>
    <row r="13">
      <c r="A13" t="n">
        <v>10</v>
      </c>
      <c r="B13">
        <f>Fractions!$A$3</f>
        <v/>
      </c>
      <c r="C13">
        <f>Fractions!$B$3</f>
        <v/>
      </c>
      <c r="D13">
        <f>A13/(Constants!$B$6*Constants!$B$5)</f>
        <v/>
      </c>
      <c r="E13">
        <f>Constants!$B$3*Constants!$B$2*Constants!$B$7^2*D13^2/Constants!$B$5^(1/3)</f>
        <v/>
      </c>
      <c r="F13">
        <f>SQRT(E13/Constants!$B$3)</f>
        <v/>
      </c>
      <c r="G13">
        <f>Fractions!$F$3</f>
        <v/>
      </c>
      <c r="H13">
        <f>E13/G13</f>
        <v/>
      </c>
      <c r="I13">
        <f>IF(H13&lt;=0,0,IF(H13&lt;Constants!$B$10,0.002*H13^7.5,14*(1-0.894/SQRT(H13))^4.5))</f>
        <v/>
      </c>
      <c r="J13">
        <f>I13*C13*F13^3/((Constants!$B$12-1)*Constants!$B$2)</f>
        <v/>
      </c>
    </row>
    <row r="14">
      <c r="A14" t="n">
        <v>10</v>
      </c>
      <c r="B14">
        <f>Fractions!$A$4</f>
        <v/>
      </c>
      <c r="C14">
        <f>Fractions!$B$4</f>
        <v/>
      </c>
      <c r="D14">
        <f>A14/(Constants!$B$6*Constants!$B$5)</f>
        <v/>
      </c>
      <c r="E14">
        <f>Constants!$B$3*Constants!$B$2*Constants!$B$7^2*D14^2/Constants!$B$5^(1/3)</f>
        <v/>
      </c>
      <c r="F14">
        <f>SQRT(E14/Constants!$B$3)</f>
        <v/>
      </c>
      <c r="G14">
        <f>Fractions!$F$4</f>
        <v/>
      </c>
      <c r="H14">
        <f>E14/G14</f>
        <v/>
      </c>
      <c r="I14">
        <f>IF(H14&lt;=0,0,IF(H14&lt;Constants!$B$10,0.002*H14^7.5,14*(1-0.894/SQRT(H14))^4.5))</f>
        <v/>
      </c>
      <c r="J14">
        <f>I14*C14*F14^3/((Constants!$B$12-1)*Constants!$B$2)</f>
        <v/>
      </c>
    </row>
    <row r="15">
      <c r="A15" t="n">
        <v>10</v>
      </c>
      <c r="B15">
        <f>Fractions!$A$5</f>
        <v/>
      </c>
      <c r="C15">
        <f>Fractions!$B$5</f>
        <v/>
      </c>
      <c r="D15">
        <f>A15/(Constants!$B$6*Constants!$B$5)</f>
        <v/>
      </c>
      <c r="E15">
        <f>Constants!$B$3*Constants!$B$2*Constants!$B$7^2*D15^2/Constants!$B$5^(1/3)</f>
        <v/>
      </c>
      <c r="F15">
        <f>SQRT(E15/Constants!$B$3)</f>
        <v/>
      </c>
      <c r="G15">
        <f>Fractions!$F$5</f>
        <v/>
      </c>
      <c r="H15">
        <f>E15/G15</f>
        <v/>
      </c>
      <c r="I15">
        <f>IF(H15&lt;=0,0,IF(H15&lt;Constants!$B$10,0.002*H15^7.5,14*(1-0.894/SQRT(H15))^4.5))</f>
        <v/>
      </c>
      <c r="J15">
        <f>I15*C15*F15^3/((Constants!$B$12-1)*Constants!$B$2)</f>
        <v/>
      </c>
    </row>
    <row r="16">
      <c r="A16" t="n">
        <v>10</v>
      </c>
      <c r="B16">
        <f>Fractions!$A$6</f>
        <v/>
      </c>
      <c r="C16">
        <f>Fractions!$B$6</f>
        <v/>
      </c>
      <c r="D16">
        <f>A16/(Constants!$B$6*Constants!$B$5)</f>
        <v/>
      </c>
      <c r="E16">
        <f>Constants!$B$3*Constants!$B$2*Constants!$B$7^2*D16^2/Constants!$B$5^(1/3)</f>
        <v/>
      </c>
      <c r="F16">
        <f>SQRT(E16/Constants!$B$3)</f>
        <v/>
      </c>
      <c r="G16">
        <f>Fractions!$F$6</f>
        <v/>
      </c>
      <c r="H16">
        <f>E16/G16</f>
        <v/>
      </c>
      <c r="I16">
        <f>IF(H16&lt;=0,0,IF(H16&lt;Constants!$B$10,0.002*H16^7.5,14*(1-0.894/SQRT(H16))^4.5))</f>
        <v/>
      </c>
      <c r="J16">
        <f>I16*C16*F16^3/((Constants!$B$12-1)*Constants!$B$2)</f>
        <v/>
      </c>
    </row>
    <row r="17">
      <c r="A17" t="n">
        <v>12.5</v>
      </c>
      <c r="B17">
        <f>Fractions!$A$2</f>
        <v/>
      </c>
      <c r="C17">
        <f>Fractions!$B$2</f>
        <v/>
      </c>
      <c r="D17">
        <f>A17/(Constants!$B$6*Constants!$B$5)</f>
        <v/>
      </c>
      <c r="E17">
        <f>Constants!$B$3*Constants!$B$2*Constants!$B$7^2*D17^2/Constants!$B$5^(1/3)</f>
        <v/>
      </c>
      <c r="F17">
        <f>SQRT(E17/Constants!$B$3)</f>
        <v/>
      </c>
      <c r="G17">
        <f>Fractions!$F$2</f>
        <v/>
      </c>
      <c r="H17">
        <f>E17/G17</f>
        <v/>
      </c>
      <c r="I17">
        <f>IF(H17&lt;=0,0,IF(H17&lt;Constants!$B$10,0.002*H17^7.5,14*(1-0.894/SQRT(H17))^4.5))</f>
        <v/>
      </c>
      <c r="J17">
        <f>I17*C17*F17^3/((Constants!$B$12-1)*Constants!$B$2)</f>
        <v/>
      </c>
    </row>
    <row r="18">
      <c r="A18" t="n">
        <v>12.5</v>
      </c>
      <c r="B18">
        <f>Fractions!$A$3</f>
        <v/>
      </c>
      <c r="C18">
        <f>Fractions!$B$3</f>
        <v/>
      </c>
      <c r="D18">
        <f>A18/(Constants!$B$6*Constants!$B$5)</f>
        <v/>
      </c>
      <c r="E18">
        <f>Constants!$B$3*Constants!$B$2*Constants!$B$7^2*D18^2/Constants!$B$5^(1/3)</f>
        <v/>
      </c>
      <c r="F18">
        <f>SQRT(E18/Constants!$B$3)</f>
        <v/>
      </c>
      <c r="G18">
        <f>Fractions!$F$3</f>
        <v/>
      </c>
      <c r="H18">
        <f>E18/G18</f>
        <v/>
      </c>
      <c r="I18">
        <f>IF(H18&lt;=0,0,IF(H18&lt;Constants!$B$10,0.002*H18^7.5,14*(1-0.894/SQRT(H18))^4.5))</f>
        <v/>
      </c>
      <c r="J18">
        <f>I18*C18*F18^3/((Constants!$B$12-1)*Constants!$B$2)</f>
        <v/>
      </c>
    </row>
    <row r="19">
      <c r="A19" t="n">
        <v>12.5</v>
      </c>
      <c r="B19">
        <f>Fractions!$A$4</f>
        <v/>
      </c>
      <c r="C19">
        <f>Fractions!$B$4</f>
        <v/>
      </c>
      <c r="D19">
        <f>A19/(Constants!$B$6*Constants!$B$5)</f>
        <v/>
      </c>
      <c r="E19">
        <f>Constants!$B$3*Constants!$B$2*Constants!$B$7^2*D19^2/Constants!$B$5^(1/3)</f>
        <v/>
      </c>
      <c r="F19">
        <f>SQRT(E19/Constants!$B$3)</f>
        <v/>
      </c>
      <c r="G19">
        <f>Fractions!$F$4</f>
        <v/>
      </c>
      <c r="H19">
        <f>E19/G19</f>
        <v/>
      </c>
      <c r="I19">
        <f>IF(H19&lt;=0,0,IF(H19&lt;Constants!$B$10,0.002*H19^7.5,14*(1-0.894/SQRT(H19))^4.5))</f>
        <v/>
      </c>
      <c r="J19">
        <f>I19*C19*F19^3/((Constants!$B$12-1)*Constants!$B$2)</f>
        <v/>
      </c>
    </row>
    <row r="20">
      <c r="A20" t="n">
        <v>12.5</v>
      </c>
      <c r="B20">
        <f>Fractions!$A$5</f>
        <v/>
      </c>
      <c r="C20">
        <f>Fractions!$B$5</f>
        <v/>
      </c>
      <c r="D20">
        <f>A20/(Constants!$B$6*Constants!$B$5)</f>
        <v/>
      </c>
      <c r="E20">
        <f>Constants!$B$3*Constants!$B$2*Constants!$B$7^2*D20^2/Constants!$B$5^(1/3)</f>
        <v/>
      </c>
      <c r="F20">
        <f>SQRT(E20/Constants!$B$3)</f>
        <v/>
      </c>
      <c r="G20">
        <f>Fractions!$F$5</f>
        <v/>
      </c>
      <c r="H20">
        <f>E20/G20</f>
        <v/>
      </c>
      <c r="I20">
        <f>IF(H20&lt;=0,0,IF(H20&lt;Constants!$B$10,0.002*H20^7.5,14*(1-0.894/SQRT(H20))^4.5))</f>
        <v/>
      </c>
      <c r="J20">
        <f>I20*C20*F20^3/((Constants!$B$12-1)*Constants!$B$2)</f>
        <v/>
      </c>
    </row>
    <row r="21">
      <c r="A21" t="n">
        <v>12.5</v>
      </c>
      <c r="B21">
        <f>Fractions!$A$6</f>
        <v/>
      </c>
      <c r="C21">
        <f>Fractions!$B$6</f>
        <v/>
      </c>
      <c r="D21">
        <f>A21/(Constants!$B$6*Constants!$B$5)</f>
        <v/>
      </c>
      <c r="E21">
        <f>Constants!$B$3*Constants!$B$2*Constants!$B$7^2*D21^2/Constants!$B$5^(1/3)</f>
        <v/>
      </c>
      <c r="F21">
        <f>SQRT(E21/Constants!$B$3)</f>
        <v/>
      </c>
      <c r="G21">
        <f>Fractions!$F$6</f>
        <v/>
      </c>
      <c r="H21">
        <f>E21/G21</f>
        <v/>
      </c>
      <c r="I21">
        <f>IF(H21&lt;=0,0,IF(H21&lt;Constants!$B$10,0.002*H21^7.5,14*(1-0.894/SQRT(H21))^4.5))</f>
        <v/>
      </c>
      <c r="J21">
        <f>I21*C21*F21^3/((Constants!$B$12-1)*Constants!$B$2)</f>
        <v/>
      </c>
    </row>
    <row r="22">
      <c r="A22" t="n">
        <v>15</v>
      </c>
      <c r="B22">
        <f>Fractions!$A$2</f>
        <v/>
      </c>
      <c r="C22">
        <f>Fractions!$B$2</f>
        <v/>
      </c>
      <c r="D22">
        <f>A22/(Constants!$B$6*Constants!$B$5)</f>
        <v/>
      </c>
      <c r="E22">
        <f>Constants!$B$3*Constants!$B$2*Constants!$B$7^2*D22^2/Constants!$B$5^(1/3)</f>
        <v/>
      </c>
      <c r="F22">
        <f>SQRT(E22/Constants!$B$3)</f>
        <v/>
      </c>
      <c r="G22">
        <f>Fractions!$F$2</f>
        <v/>
      </c>
      <c r="H22">
        <f>E22/G22</f>
        <v/>
      </c>
      <c r="I22">
        <f>IF(H22&lt;=0,0,IF(H22&lt;Constants!$B$10,0.002*H22^7.5,14*(1-0.894/SQRT(H22))^4.5))</f>
        <v/>
      </c>
      <c r="J22">
        <f>I22*C22*F22^3/((Constants!$B$12-1)*Constants!$B$2)</f>
        <v/>
      </c>
    </row>
    <row r="23">
      <c r="A23" t="n">
        <v>15</v>
      </c>
      <c r="B23">
        <f>Fractions!$A$3</f>
        <v/>
      </c>
      <c r="C23">
        <f>Fractions!$B$3</f>
        <v/>
      </c>
      <c r="D23">
        <f>A23/(Constants!$B$6*Constants!$B$5)</f>
        <v/>
      </c>
      <c r="E23">
        <f>Constants!$B$3*Constants!$B$2*Constants!$B$7^2*D23^2/Constants!$B$5^(1/3)</f>
        <v/>
      </c>
      <c r="F23">
        <f>SQRT(E23/Constants!$B$3)</f>
        <v/>
      </c>
      <c r="G23">
        <f>Fractions!$F$3</f>
        <v/>
      </c>
      <c r="H23">
        <f>E23/G23</f>
        <v/>
      </c>
      <c r="I23">
        <f>IF(H23&lt;=0,0,IF(H23&lt;Constants!$B$10,0.002*H23^7.5,14*(1-0.894/SQRT(H23))^4.5))</f>
        <v/>
      </c>
      <c r="J23">
        <f>I23*C23*F23^3/((Constants!$B$12-1)*Constants!$B$2)</f>
        <v/>
      </c>
    </row>
    <row r="24">
      <c r="A24" t="n">
        <v>15</v>
      </c>
      <c r="B24">
        <f>Fractions!$A$4</f>
        <v/>
      </c>
      <c r="C24">
        <f>Fractions!$B$4</f>
        <v/>
      </c>
      <c r="D24">
        <f>A24/(Constants!$B$6*Constants!$B$5)</f>
        <v/>
      </c>
      <c r="E24">
        <f>Constants!$B$3*Constants!$B$2*Constants!$B$7^2*D24^2/Constants!$B$5^(1/3)</f>
        <v/>
      </c>
      <c r="F24">
        <f>SQRT(E24/Constants!$B$3)</f>
        <v/>
      </c>
      <c r="G24">
        <f>Fractions!$F$4</f>
        <v/>
      </c>
      <c r="H24">
        <f>E24/G24</f>
        <v/>
      </c>
      <c r="I24">
        <f>IF(H24&lt;=0,0,IF(H24&lt;Constants!$B$10,0.002*H24^7.5,14*(1-0.894/SQRT(H24))^4.5))</f>
        <v/>
      </c>
      <c r="J24">
        <f>I24*C24*F24^3/((Constants!$B$12-1)*Constants!$B$2)</f>
        <v/>
      </c>
    </row>
    <row r="25">
      <c r="A25" t="n">
        <v>15</v>
      </c>
      <c r="B25">
        <f>Fractions!$A$5</f>
        <v/>
      </c>
      <c r="C25">
        <f>Fractions!$B$5</f>
        <v/>
      </c>
      <c r="D25">
        <f>A25/(Constants!$B$6*Constants!$B$5)</f>
        <v/>
      </c>
      <c r="E25">
        <f>Constants!$B$3*Constants!$B$2*Constants!$B$7^2*D25^2/Constants!$B$5^(1/3)</f>
        <v/>
      </c>
      <c r="F25">
        <f>SQRT(E25/Constants!$B$3)</f>
        <v/>
      </c>
      <c r="G25">
        <f>Fractions!$F$5</f>
        <v/>
      </c>
      <c r="H25">
        <f>E25/G25</f>
        <v/>
      </c>
      <c r="I25">
        <f>IF(H25&lt;=0,0,IF(H25&lt;Constants!$B$10,0.002*H25^7.5,14*(1-0.894/SQRT(H25))^4.5))</f>
        <v/>
      </c>
      <c r="J25">
        <f>I25*C25*F25^3/((Constants!$B$12-1)*Constants!$B$2)</f>
        <v/>
      </c>
    </row>
    <row r="26">
      <c r="A26" t="n">
        <v>15</v>
      </c>
      <c r="B26">
        <f>Fractions!$A$6</f>
        <v/>
      </c>
      <c r="C26">
        <f>Fractions!$B$6</f>
        <v/>
      </c>
      <c r="D26">
        <f>A26/(Constants!$B$6*Constants!$B$5)</f>
        <v/>
      </c>
      <c r="E26">
        <f>Constants!$B$3*Constants!$B$2*Constants!$B$7^2*D26^2/Constants!$B$5^(1/3)</f>
        <v/>
      </c>
      <c r="F26">
        <f>SQRT(E26/Constants!$B$3)</f>
        <v/>
      </c>
      <c r="G26">
        <f>Fractions!$F$6</f>
        <v/>
      </c>
      <c r="H26">
        <f>E26/G26</f>
        <v/>
      </c>
      <c r="I26">
        <f>IF(H26&lt;=0,0,IF(H26&lt;Constants!$B$10,0.002*H26^7.5,14*(1-0.894/SQRT(H26))^4.5))</f>
        <v/>
      </c>
      <c r="J26">
        <f>I26*C26*F26^3/((Constants!$B$12-1)*Constants!$B$2)</f>
        <v/>
      </c>
    </row>
    <row r="27">
      <c r="A27" t="n">
        <v>25</v>
      </c>
      <c r="B27">
        <f>Fractions!$A$2</f>
        <v/>
      </c>
      <c r="C27">
        <f>Fractions!$B$2</f>
        <v/>
      </c>
      <c r="D27">
        <f>A27/(Constants!$B$6*Constants!$B$5)</f>
        <v/>
      </c>
      <c r="E27">
        <f>Constants!$B$3*Constants!$B$2*Constants!$B$7^2*D27^2/Constants!$B$5^(1/3)</f>
        <v/>
      </c>
      <c r="F27">
        <f>SQRT(E27/Constants!$B$3)</f>
        <v/>
      </c>
      <c r="G27">
        <f>Fractions!$F$2</f>
        <v/>
      </c>
      <c r="H27">
        <f>E27/G27</f>
        <v/>
      </c>
      <c r="I27">
        <f>IF(H27&lt;=0,0,IF(H27&lt;Constants!$B$10,0.002*H27^7.5,14*(1-0.894/SQRT(H27))^4.5))</f>
        <v/>
      </c>
      <c r="J27">
        <f>I27*C27*F27^3/((Constants!$B$12-1)*Constants!$B$2)</f>
        <v/>
      </c>
    </row>
    <row r="28">
      <c r="A28" t="n">
        <v>25</v>
      </c>
      <c r="B28">
        <f>Fractions!$A$3</f>
        <v/>
      </c>
      <c r="C28">
        <f>Fractions!$B$3</f>
        <v/>
      </c>
      <c r="D28">
        <f>A28/(Constants!$B$6*Constants!$B$5)</f>
        <v/>
      </c>
      <c r="E28">
        <f>Constants!$B$3*Constants!$B$2*Constants!$B$7^2*D28^2/Constants!$B$5^(1/3)</f>
        <v/>
      </c>
      <c r="F28">
        <f>SQRT(E28/Constants!$B$3)</f>
        <v/>
      </c>
      <c r="G28">
        <f>Fractions!$F$3</f>
        <v/>
      </c>
      <c r="H28">
        <f>E28/G28</f>
        <v/>
      </c>
      <c r="I28">
        <f>IF(H28&lt;=0,0,IF(H28&lt;Constants!$B$10,0.002*H28^7.5,14*(1-0.894/SQRT(H28))^4.5))</f>
        <v/>
      </c>
      <c r="J28">
        <f>I28*C28*F28^3/((Constants!$B$12-1)*Constants!$B$2)</f>
        <v/>
      </c>
    </row>
    <row r="29">
      <c r="A29" t="n">
        <v>25</v>
      </c>
      <c r="B29">
        <f>Fractions!$A$4</f>
        <v/>
      </c>
      <c r="C29">
        <f>Fractions!$B$4</f>
        <v/>
      </c>
      <c r="D29">
        <f>A29/(Constants!$B$6*Constants!$B$5)</f>
        <v/>
      </c>
      <c r="E29">
        <f>Constants!$B$3*Constants!$B$2*Constants!$B$7^2*D29^2/Constants!$B$5^(1/3)</f>
        <v/>
      </c>
      <c r="F29">
        <f>SQRT(E29/Constants!$B$3)</f>
        <v/>
      </c>
      <c r="G29">
        <f>Fractions!$F$4</f>
        <v/>
      </c>
      <c r="H29">
        <f>E29/G29</f>
        <v/>
      </c>
      <c r="I29">
        <f>IF(H29&lt;=0,0,IF(H29&lt;Constants!$B$10,0.002*H29^7.5,14*(1-0.894/SQRT(H29))^4.5))</f>
        <v/>
      </c>
      <c r="J29">
        <f>I29*C29*F29^3/((Constants!$B$12-1)*Constants!$B$2)</f>
        <v/>
      </c>
    </row>
    <row r="30">
      <c r="A30" t="n">
        <v>25</v>
      </c>
      <c r="B30">
        <f>Fractions!$A$5</f>
        <v/>
      </c>
      <c r="C30">
        <f>Fractions!$B$5</f>
        <v/>
      </c>
      <c r="D30">
        <f>A30/(Constants!$B$6*Constants!$B$5)</f>
        <v/>
      </c>
      <c r="E30">
        <f>Constants!$B$3*Constants!$B$2*Constants!$B$7^2*D30^2/Constants!$B$5^(1/3)</f>
        <v/>
      </c>
      <c r="F30">
        <f>SQRT(E30/Constants!$B$3)</f>
        <v/>
      </c>
      <c r="G30">
        <f>Fractions!$F$5</f>
        <v/>
      </c>
      <c r="H30">
        <f>E30/G30</f>
        <v/>
      </c>
      <c r="I30">
        <f>IF(H30&lt;=0,0,IF(H30&lt;Constants!$B$10,0.002*H30^7.5,14*(1-0.894/SQRT(H30))^4.5))</f>
        <v/>
      </c>
      <c r="J30">
        <f>I30*C30*F30^3/((Constants!$B$12-1)*Constants!$B$2)</f>
        <v/>
      </c>
    </row>
    <row r="31">
      <c r="A31" t="n">
        <v>25</v>
      </c>
      <c r="B31">
        <f>Fractions!$A$6</f>
        <v/>
      </c>
      <c r="C31">
        <f>Fractions!$B$6</f>
        <v/>
      </c>
      <c r="D31">
        <f>A31/(Constants!$B$6*Constants!$B$5)</f>
        <v/>
      </c>
      <c r="E31">
        <f>Constants!$B$3*Constants!$B$2*Constants!$B$7^2*D31^2/Constants!$B$5^(1/3)</f>
        <v/>
      </c>
      <c r="F31">
        <f>SQRT(E31/Constants!$B$3)</f>
        <v/>
      </c>
      <c r="G31">
        <f>Fractions!$F$6</f>
        <v/>
      </c>
      <c r="H31">
        <f>E31/G31</f>
        <v/>
      </c>
      <c r="I31">
        <f>IF(H31&lt;=0,0,IF(H31&lt;Constants!$B$10,0.002*H31^7.5,14*(1-0.894/SQRT(H31))^4.5))</f>
        <v/>
      </c>
      <c r="J31">
        <f>I31*C31*F31^3/((Constants!$B$12-1)*Constants!$B$2)</f>
        <v/>
      </c>
    </row>
    <row r="32">
      <c r="A32" t="n">
        <v>50</v>
      </c>
      <c r="B32">
        <f>Fractions!$A$2</f>
        <v/>
      </c>
      <c r="C32">
        <f>Fractions!$B$2</f>
        <v/>
      </c>
      <c r="D32">
        <f>A32/(Constants!$B$6*Constants!$B$5)</f>
        <v/>
      </c>
      <c r="E32">
        <f>Constants!$B$3*Constants!$B$2*Constants!$B$7^2*D32^2/Constants!$B$5^(1/3)</f>
        <v/>
      </c>
      <c r="F32">
        <f>SQRT(E32/Constants!$B$3)</f>
        <v/>
      </c>
      <c r="G32">
        <f>Fractions!$F$2</f>
        <v/>
      </c>
      <c r="H32">
        <f>E32/G32</f>
        <v/>
      </c>
      <c r="I32">
        <f>IF(H32&lt;=0,0,IF(H32&lt;Constants!$B$10,0.002*H32^7.5,14*(1-0.894/SQRT(H32))^4.5))</f>
        <v/>
      </c>
      <c r="J32">
        <f>I32*C32*F32^3/((Constants!$B$12-1)*Constants!$B$2)</f>
        <v/>
      </c>
    </row>
    <row r="33">
      <c r="A33" t="n">
        <v>50</v>
      </c>
      <c r="B33">
        <f>Fractions!$A$3</f>
        <v/>
      </c>
      <c r="C33">
        <f>Fractions!$B$3</f>
        <v/>
      </c>
      <c r="D33">
        <f>A33/(Constants!$B$6*Constants!$B$5)</f>
        <v/>
      </c>
      <c r="E33">
        <f>Constants!$B$3*Constants!$B$2*Constants!$B$7^2*D33^2/Constants!$B$5^(1/3)</f>
        <v/>
      </c>
      <c r="F33">
        <f>SQRT(E33/Constants!$B$3)</f>
        <v/>
      </c>
      <c r="G33">
        <f>Fractions!$F$3</f>
        <v/>
      </c>
      <c r="H33">
        <f>E33/G33</f>
        <v/>
      </c>
      <c r="I33">
        <f>IF(H33&lt;=0,0,IF(H33&lt;Constants!$B$10,0.002*H33^7.5,14*(1-0.894/SQRT(H33))^4.5))</f>
        <v/>
      </c>
      <c r="J33">
        <f>I33*C33*F33^3/((Constants!$B$12-1)*Constants!$B$2)</f>
        <v/>
      </c>
    </row>
    <row r="34">
      <c r="A34" t="n">
        <v>50</v>
      </c>
      <c r="B34">
        <f>Fractions!$A$4</f>
        <v/>
      </c>
      <c r="C34">
        <f>Fractions!$B$4</f>
        <v/>
      </c>
      <c r="D34">
        <f>A34/(Constants!$B$6*Constants!$B$5)</f>
        <v/>
      </c>
      <c r="E34">
        <f>Constants!$B$3*Constants!$B$2*Constants!$B$7^2*D34^2/Constants!$B$5^(1/3)</f>
        <v/>
      </c>
      <c r="F34">
        <f>SQRT(E34/Constants!$B$3)</f>
        <v/>
      </c>
      <c r="G34">
        <f>Fractions!$F$4</f>
        <v/>
      </c>
      <c r="H34">
        <f>E34/G34</f>
        <v/>
      </c>
      <c r="I34">
        <f>IF(H34&lt;=0,0,IF(H34&lt;Constants!$B$10,0.002*H34^7.5,14*(1-0.894/SQRT(H34))^4.5))</f>
        <v/>
      </c>
      <c r="J34">
        <f>I34*C34*F34^3/((Constants!$B$12-1)*Constants!$B$2)</f>
        <v/>
      </c>
    </row>
    <row r="35">
      <c r="A35" t="n">
        <v>50</v>
      </c>
      <c r="B35">
        <f>Fractions!$A$5</f>
        <v/>
      </c>
      <c r="C35">
        <f>Fractions!$B$5</f>
        <v/>
      </c>
      <c r="D35">
        <f>A35/(Constants!$B$6*Constants!$B$5)</f>
        <v/>
      </c>
      <c r="E35">
        <f>Constants!$B$3*Constants!$B$2*Constants!$B$7^2*D35^2/Constants!$B$5^(1/3)</f>
        <v/>
      </c>
      <c r="F35">
        <f>SQRT(E35/Constants!$B$3)</f>
        <v/>
      </c>
      <c r="G35">
        <f>Fractions!$F$5</f>
        <v/>
      </c>
      <c r="H35">
        <f>E35/G35</f>
        <v/>
      </c>
      <c r="I35">
        <f>IF(H35&lt;=0,0,IF(H35&lt;Constants!$B$10,0.002*H35^7.5,14*(1-0.894/SQRT(H35))^4.5))</f>
        <v/>
      </c>
      <c r="J35">
        <f>I35*C35*F35^3/((Constants!$B$12-1)*Constants!$B$2)</f>
        <v/>
      </c>
    </row>
    <row r="36">
      <c r="A36" t="n">
        <v>50</v>
      </c>
      <c r="B36">
        <f>Fractions!$A$6</f>
        <v/>
      </c>
      <c r="C36">
        <f>Fractions!$B$6</f>
        <v/>
      </c>
      <c r="D36">
        <f>A36/(Constants!$B$6*Constants!$B$5)</f>
        <v/>
      </c>
      <c r="E36">
        <f>Constants!$B$3*Constants!$B$2*Constants!$B$7^2*D36^2/Constants!$B$5^(1/3)</f>
        <v/>
      </c>
      <c r="F36">
        <f>SQRT(E36/Constants!$B$3)</f>
        <v/>
      </c>
      <c r="G36">
        <f>Fractions!$F$6</f>
        <v/>
      </c>
      <c r="H36">
        <f>E36/G36</f>
        <v/>
      </c>
      <c r="I36">
        <f>IF(H36&lt;=0,0,IF(H36&lt;Constants!$B$10,0.002*H36^7.5,14*(1-0.894/SQRT(H36))^4.5))</f>
        <v/>
      </c>
      <c r="J36">
        <f>I36*C36*F36^3/((Constants!$B$12-1)*Constants!$B$2)</f>
        <v/>
      </c>
    </row>
    <row r="37">
      <c r="A37" t="n">
        <v>100</v>
      </c>
      <c r="B37">
        <f>Fractions!$A$2</f>
        <v/>
      </c>
      <c r="C37">
        <f>Fractions!$B$2</f>
        <v/>
      </c>
      <c r="D37">
        <f>A37/(Constants!$B$6*Constants!$B$5)</f>
        <v/>
      </c>
      <c r="E37">
        <f>Constants!$B$3*Constants!$B$2*Constants!$B$7^2*D37^2/Constants!$B$5^(1/3)</f>
        <v/>
      </c>
      <c r="F37">
        <f>SQRT(E37/Constants!$B$3)</f>
        <v/>
      </c>
      <c r="G37">
        <f>Fractions!$F$2</f>
        <v/>
      </c>
      <c r="H37">
        <f>E37/G37</f>
        <v/>
      </c>
      <c r="I37">
        <f>IF(H37&lt;=0,0,IF(H37&lt;Constants!$B$10,0.002*H37^7.5,14*(1-0.894/SQRT(H37))^4.5))</f>
        <v/>
      </c>
      <c r="J37">
        <f>I37*C37*F37^3/((Constants!$B$12-1)*Constants!$B$2)</f>
        <v/>
      </c>
    </row>
    <row r="38">
      <c r="A38" t="n">
        <v>100</v>
      </c>
      <c r="B38">
        <f>Fractions!$A$3</f>
        <v/>
      </c>
      <c r="C38">
        <f>Fractions!$B$3</f>
        <v/>
      </c>
      <c r="D38">
        <f>A38/(Constants!$B$6*Constants!$B$5)</f>
        <v/>
      </c>
      <c r="E38">
        <f>Constants!$B$3*Constants!$B$2*Constants!$B$7^2*D38^2/Constants!$B$5^(1/3)</f>
        <v/>
      </c>
      <c r="F38">
        <f>SQRT(E38/Constants!$B$3)</f>
        <v/>
      </c>
      <c r="G38">
        <f>Fractions!$F$3</f>
        <v/>
      </c>
      <c r="H38">
        <f>E38/G38</f>
        <v/>
      </c>
      <c r="I38">
        <f>IF(H38&lt;=0,0,IF(H38&lt;Constants!$B$10,0.002*H38^7.5,14*(1-0.894/SQRT(H38))^4.5))</f>
        <v/>
      </c>
      <c r="J38">
        <f>I38*C38*F38^3/((Constants!$B$12-1)*Constants!$B$2)</f>
        <v/>
      </c>
    </row>
    <row r="39">
      <c r="A39" t="n">
        <v>100</v>
      </c>
      <c r="B39">
        <f>Fractions!$A$4</f>
        <v/>
      </c>
      <c r="C39">
        <f>Fractions!$B$4</f>
        <v/>
      </c>
      <c r="D39">
        <f>A39/(Constants!$B$6*Constants!$B$5)</f>
        <v/>
      </c>
      <c r="E39">
        <f>Constants!$B$3*Constants!$B$2*Constants!$B$7^2*D39^2/Constants!$B$5^(1/3)</f>
        <v/>
      </c>
      <c r="F39">
        <f>SQRT(E39/Constants!$B$3)</f>
        <v/>
      </c>
      <c r="G39">
        <f>Fractions!$F$4</f>
        <v/>
      </c>
      <c r="H39">
        <f>E39/G39</f>
        <v/>
      </c>
      <c r="I39">
        <f>IF(H39&lt;=0,0,IF(H39&lt;Constants!$B$10,0.002*H39^7.5,14*(1-0.894/SQRT(H39))^4.5))</f>
        <v/>
      </c>
      <c r="J39">
        <f>I39*C39*F39^3/((Constants!$B$12-1)*Constants!$B$2)</f>
        <v/>
      </c>
    </row>
    <row r="40">
      <c r="A40" t="n">
        <v>100</v>
      </c>
      <c r="B40">
        <f>Fractions!$A$5</f>
        <v/>
      </c>
      <c r="C40">
        <f>Fractions!$B$5</f>
        <v/>
      </c>
      <c r="D40">
        <f>A40/(Constants!$B$6*Constants!$B$5)</f>
        <v/>
      </c>
      <c r="E40">
        <f>Constants!$B$3*Constants!$B$2*Constants!$B$7^2*D40^2/Constants!$B$5^(1/3)</f>
        <v/>
      </c>
      <c r="F40">
        <f>SQRT(E40/Constants!$B$3)</f>
        <v/>
      </c>
      <c r="G40">
        <f>Fractions!$F$5</f>
        <v/>
      </c>
      <c r="H40">
        <f>E40/G40</f>
        <v/>
      </c>
      <c r="I40">
        <f>IF(H40&lt;=0,0,IF(H40&lt;Constants!$B$10,0.002*H40^7.5,14*(1-0.894/SQRT(H40))^4.5))</f>
        <v/>
      </c>
      <c r="J40">
        <f>I40*C40*F40^3/((Constants!$B$12-1)*Constants!$B$2)</f>
        <v/>
      </c>
    </row>
    <row r="41">
      <c r="A41" t="n">
        <v>100</v>
      </c>
      <c r="B41">
        <f>Fractions!$A$6</f>
        <v/>
      </c>
      <c r="C41">
        <f>Fractions!$B$6</f>
        <v/>
      </c>
      <c r="D41">
        <f>A41/(Constants!$B$6*Constants!$B$5)</f>
        <v/>
      </c>
      <c r="E41">
        <f>Constants!$B$3*Constants!$B$2*Constants!$B$7^2*D41^2/Constants!$B$5^(1/3)</f>
        <v/>
      </c>
      <c r="F41">
        <f>SQRT(E41/Constants!$B$3)</f>
        <v/>
      </c>
      <c r="G41">
        <f>Fractions!$F$6</f>
        <v/>
      </c>
      <c r="H41">
        <f>E41/G41</f>
        <v/>
      </c>
      <c r="I41">
        <f>IF(H41&lt;=0,0,IF(H41&lt;Constants!$B$10,0.002*H41^7.5,14*(1-0.894/SQRT(H41))^4.5))</f>
        <v/>
      </c>
      <c r="J41">
        <f>I41*C41*F41^3/((Constants!$B$12-1)*Constants!$B$2)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15" max="15"/>
    <col width="18" customWidth="1" min="16" max="16"/>
    <col width="18" customWidth="1" min="17" max="17"/>
    <col width="18" customWidth="1" min="18" max="18"/>
    <col width="32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Q (m3/s)</t>
        </is>
      </c>
      <c r="C1" s="1" t="inlineStr">
        <is>
          <t>Water_Year</t>
        </is>
      </c>
      <c r="D1" s="1" t="inlineStr">
        <is>
          <t>v</t>
        </is>
      </c>
      <c r="E1" s="1" t="inlineStr">
        <is>
          <t>tau (Pa)</t>
        </is>
      </c>
      <c r="F1" s="1" t="inlineStr">
        <is>
          <t>u* (m/s)</t>
        </is>
      </c>
      <c r="G1" s="1" t="inlineStr">
        <is>
          <t>q_b fraction 1 (m2/s)</t>
        </is>
      </c>
      <c r="H1" s="1" t="inlineStr">
        <is>
          <t>q_b fraction 2 (m2/s)</t>
        </is>
      </c>
      <c r="I1" s="1" t="inlineStr">
        <is>
          <t>q_b fraction 3 (m2/s)</t>
        </is>
      </c>
      <c r="J1" s="1" t="inlineStr">
        <is>
          <t>q_b fraction 4 (m2/s)</t>
        </is>
      </c>
      <c r="K1" s="1" t="inlineStr">
        <is>
          <t>q_b fraction 5 (m2/s)</t>
        </is>
      </c>
      <c r="L1" s="1" t="inlineStr">
        <is>
          <t>q_b daily (m2/s)</t>
        </is>
      </c>
      <c r="M1" s="1" t="inlineStr">
        <is>
          <t>Calendar year</t>
        </is>
      </c>
      <c r="O1" s="1" t="inlineStr">
        <is>
          <t>Grouping</t>
        </is>
      </c>
      <c r="P1" s="1" t="inlineStr">
        <is>
          <t>Key</t>
        </is>
      </c>
      <c r="Q1" s="1" t="inlineStr">
        <is>
          <t>Mean Q (m3/s)</t>
        </is>
      </c>
      <c r="R1" s="1" t="inlineStr">
        <is>
          <t>Mean q_b (m2/s)</t>
        </is>
      </c>
      <c r="S1" s="1" t="inlineStr">
        <is>
          <t>Volume V_b = q_b B s/yr (m3/yr)</t>
        </is>
      </c>
      <c r="T1" s="1" t="inlineStr">
        <is>
          <t>Mass M_b (t/yr)</t>
        </is>
      </c>
    </row>
    <row r="2">
      <c r="A2" s="2" t="n">
        <v>40086</v>
      </c>
      <c r="B2" t="n">
        <v>12</v>
      </c>
      <c r="C2">
        <f>IF(MONTH(A2)&gt;=10,YEAR(A2)+1,YEAR(A2))</f>
        <v/>
      </c>
      <c r="D2">
        <f>B2/(Constants!$B$6*Constants!$B$5)</f>
        <v/>
      </c>
      <c r="E2">
        <f>Constants!$B$3*Constants!$B$2*Constants!$B$7^2*D2^2/Constants!$B$5^(1/3)</f>
        <v/>
      </c>
      <c r="F2">
        <f>SQRT(E2/Constants!$B$3)</f>
        <v/>
      </c>
      <c r="G2">
        <f>IF(E2&lt;=0,0,IF(E2/Fractions!$F$2&lt;Constants!$B$10,0.002*(E2/Fractions!$F$2)^7.5,14*(1-0.894/SQRT(E2/Fractions!$F$2))^4.5))*Fractions!$B$2*F2^3/((Constants!$B$12-1)*Constants!$B$2)</f>
        <v/>
      </c>
      <c r="H2">
        <f>IF(E2&lt;=0,0,IF(E2/Fractions!$F$3&lt;Constants!$B$10,0.002*(E2/Fractions!$F$3)^7.5,14*(1-0.894/SQRT(E2/Fractions!$F$3))^4.5))*Fractions!$B$3*F2^3/((Constants!$B$12-1)*Constants!$B$2)</f>
        <v/>
      </c>
      <c r="I2">
        <f>IF(E2&lt;=0,0,IF(E2/Fractions!$F$4&lt;Constants!$B$10,0.002*(E2/Fractions!$F$4)^7.5,14*(1-0.894/SQRT(E2/Fractions!$F$4))^4.5))*Fractions!$B$4*F2^3/((Constants!$B$12-1)*Constants!$B$2)</f>
        <v/>
      </c>
      <c r="J2">
        <f>IF(E2&lt;=0,0,IF(E2/Fractions!$F$5&lt;Constants!$B$10,0.002*(E2/Fractions!$F$5)^7.5,14*(1-0.894/SQRT(E2/Fractions!$F$5))^4.5))*Fractions!$B$5*F2^3/((Constants!$B$12-1)*Constants!$B$2)</f>
        <v/>
      </c>
      <c r="K2">
        <f>IF(E2&lt;=0,0,IF(E2/Fractions!$F$6&lt;Constants!$B$10,0.002*(E2/Fractions!$F$6)^7.5,14*(1-0.894/SQRT(E2/Fractions!$F$6))^4.5))*Fractions!$B$6*F2^3/((Constants!$B$12-1)*Constants!$B$2)</f>
        <v/>
      </c>
      <c r="L2">
        <f>SUM(G2:K2)</f>
        <v/>
      </c>
      <c r="M2">
        <f>YEAR(A2)</f>
        <v/>
      </c>
      <c r="O2" t="inlineStr">
        <is>
          <t>calendar</t>
        </is>
      </c>
      <c r="P2" t="n">
        <v>2009</v>
      </c>
      <c r="Q2">
        <f>AVERAGEIF($M$2:$M$9,P2,$B$2:$B$9)</f>
        <v/>
      </c>
      <c r="R2">
        <f>AVERAGEIF($M$2:$M$9,P2,$L$2:$L$9)</f>
        <v/>
      </c>
      <c r="S2">
        <f>R2*Constants!$B$6*Constants!$B$11</f>
        <v/>
      </c>
      <c r="T2">
        <f>S2*Constants!$B$14</f>
        <v/>
      </c>
    </row>
    <row r="3">
      <c r="A3" s="2" t="n">
        <v>40087</v>
      </c>
      <c r="B3" t="n">
        <v>18.5</v>
      </c>
      <c r="C3">
        <f>IF(MONTH(A3)&gt;=10,YEAR(A3)+1,YEAR(A3))</f>
        <v/>
      </c>
      <c r="D3">
        <f>B3/(Constants!$B$6*Constants!$B$5)</f>
        <v/>
      </c>
      <c r="E3">
        <f>Constants!$B$3*Constants!$B$2*Constants!$B$7^2*D3^2/Constants!$B$5^(1/3)</f>
        <v/>
      </c>
      <c r="F3">
        <f>SQRT(E3/Constants!$B$3)</f>
        <v/>
      </c>
      <c r="G3">
        <f>IF(E3&lt;=0,0,IF(E3/Fractions!$F$2&lt;Constants!$B$10,0.002*(E3/Fractions!$F$2)^7.5,14*(1-0.894/SQRT(E3/Fractions!$F$2))^4.5))*Fractions!$B$2*F3^3/((Constants!$B$12-1)*Constants!$B$2)</f>
        <v/>
      </c>
      <c r="H3">
        <f>IF(E3&lt;=0,0,IF(E3/Fractions!$F$3&lt;Constants!$B$10,0.002*(E3/Fractions!$F$3)^7.5,14*(1-0.894/SQRT(E3/Fractions!$F$3))^4.5))*Fractions!$B$3*F3^3/((Constants!$B$12-1)*Constants!$B$2)</f>
        <v/>
      </c>
      <c r="I3">
        <f>IF(E3&lt;=0,0,IF(E3/Fractions!$F$4&lt;Constants!$B$10,0.002*(E3/Fractions!$F$4)^7.5,14*(1-0.894/SQRT(E3/Fractions!$F$4))^4.5))*Fractions!$B$4*F3^3/((Constants!$B$12-1)*Constants!$B$2)</f>
        <v/>
      </c>
      <c r="J3">
        <f>IF(E3&lt;=0,0,IF(E3/Fractions!$F$5&lt;Constants!$B$10,0.002*(E3/Fractions!$F$5)^7.5,14*(1-0.894/SQRT(E3/Fractions!$F$5))^4.5))*Fractions!$B$5*F3^3/((Constants!$B$12-1)*Constants!$B$2)</f>
        <v/>
      </c>
      <c r="K3">
        <f>IF(E3&lt;=0,0,IF(E3/Fractions!$F$6&lt;Constants!$B$10,0.002*(E3/Fractions!$F$6)^7.5,14*(1-0.894/SQRT(E3/Fractions!$F$6))^4.5))*Fractions!$B$6*F3^3/((Constants!$B$12-1)*Constants!$B$2)</f>
        <v/>
      </c>
      <c r="L3">
        <f>SUM(G3:K3)</f>
        <v/>
      </c>
      <c r="M3">
        <f>YEAR(A3)</f>
        <v/>
      </c>
      <c r="O3" t="inlineStr">
        <is>
          <t>calendar</t>
        </is>
      </c>
      <c r="P3" t="n">
        <v>2010</v>
      </c>
      <c r="Q3">
        <f>AVERAGEIF($M$2:$M$9,P3,$B$2:$B$9)</f>
        <v/>
      </c>
      <c r="R3">
        <f>AVERAGEIF($M$2:$M$9,P3,$L$2:$L$9)</f>
        <v/>
      </c>
      <c r="S3">
        <f>R3*Constants!$B$6*Constants!$B$11</f>
        <v/>
      </c>
      <c r="T3">
        <f>S3*Constants!$B$14</f>
        <v/>
      </c>
    </row>
    <row r="4">
      <c r="A4" s="2" t="n">
        <v>40178</v>
      </c>
      <c r="B4" t="n">
        <v>0</v>
      </c>
      <c r="C4">
        <f>IF(MONTH(A4)&gt;=10,YEAR(A4)+1,YEAR(A4))</f>
        <v/>
      </c>
      <c r="D4">
        <f>B4/(Constants!$B$6*Constants!$B$5)</f>
        <v/>
      </c>
      <c r="E4">
        <f>Constants!$B$3*Constants!$B$2*Constants!$B$7^2*D4^2/Constants!$B$5^(1/3)</f>
        <v/>
      </c>
      <c r="F4">
        <f>SQRT(E4/Constants!$B$3)</f>
        <v/>
      </c>
      <c r="G4">
        <f>IF(E4&lt;=0,0,IF(E4/Fractions!$F$2&lt;Constants!$B$10,0.002*(E4/Fractions!$F$2)^7.5,14*(1-0.894/SQRT(E4/Fractions!$F$2))^4.5))*Fractions!$B$2*F4^3/((Constants!$B$12-1)*Constants!$B$2)</f>
        <v/>
      </c>
      <c r="H4">
        <f>IF(E4&lt;=0,0,IF(E4/Fractions!$F$3&lt;Constants!$B$10,0.002*(E4/Fractions!$F$3)^7.5,14*(1-0.894/SQRT(E4/Fractions!$F$3))^4.5))*Fractions!$B$3*F4^3/((Constants!$B$12-1)*Constants!$B$2)</f>
        <v/>
      </c>
      <c r="I4">
        <f>IF(E4&lt;=0,0,IF(E4/Fractions!$F$4&lt;Constants!$B$10,0.002*(E4/Fractions!$F$4)^7.5,14*(1-0.894/SQRT(E4/Fractions!$F$4))^4.5))*Fractions!$B$4*F4^3/((Constants!$B$12-1)*Constants!$B$2)</f>
        <v/>
      </c>
      <c r="J4">
        <f>IF(E4&lt;=0,0,IF(E4/Fractions!$F$5&lt;Constants!$B$10,0.002*(E4/Fractions!$F$5)^7.5,14*(1-0.894/SQRT(E4/Fractions!$F$5))^4.5))*Fractions!$B$5*F4^3/((Constants!$B$12-1)*Constants!$B$2)</f>
        <v/>
      </c>
      <c r="K4">
        <f>IF(E4&lt;=0,0,IF(E4/Fractions!$F$6&lt;Constants!$B$10,0.002*(E4/Fractions!$F$6)^7.5,14*(1-0.894/SQRT(E4/Fractions!$F$6))^4.5))*Fractions!$B$6*F4^3/((Constants!$B$12-1)*Constants!$B$2)</f>
        <v/>
      </c>
      <c r="L4">
        <f>SUM(G4:K4)</f>
        <v/>
      </c>
      <c r="M4">
        <f>YEAR(A4)</f>
        <v/>
      </c>
      <c r="O4" t="inlineStr">
        <is>
          <t>water</t>
        </is>
      </c>
      <c r="P4" t="n">
        <v>2009</v>
      </c>
      <c r="Q4">
        <f>AVERAGEIF($C$2:$C$9,P4,$B$2:$B$9)</f>
        <v/>
      </c>
      <c r="R4">
        <f>AVERAGEIF($C$2:$C$9,P4,$L$2:$L$9)</f>
        <v/>
      </c>
      <c r="S4">
        <f>R4*Constants!$B$6*Constants!$B$11</f>
        <v/>
      </c>
      <c r="T4">
        <f>S4*Constants!$B$14</f>
        <v/>
      </c>
    </row>
    <row r="5">
      <c r="A5" s="2" t="n">
        <v>40179</v>
      </c>
      <c r="B5" t="n">
        <v>9.199999999999999</v>
      </c>
      <c r="C5">
        <f>IF(MONTH(A5)&gt;=10,YEAR(A5)+1,YEAR(A5))</f>
        <v/>
      </c>
      <c r="D5">
        <f>B5/(Constants!$B$6*Constants!$B$5)</f>
        <v/>
      </c>
      <c r="E5">
        <f>Constants!$B$3*Constants!$B$2*Constants!$B$7^2*D5^2/Constants!$B$5^(1/3)</f>
        <v/>
      </c>
      <c r="F5">
        <f>SQRT(E5/Constants!$B$3)</f>
        <v/>
      </c>
      <c r="G5">
        <f>IF(E5&lt;=0,0,IF(E5/Fractions!$F$2&lt;Constants!$B$10,0.002*(E5/Fractions!$F$2)^7.5,14*(1-0.894/SQRT(E5/Fractions!$F$2))^4.5))*Fractions!$B$2*F5^3/((Constants!$B$12-1)*Constants!$B$2)</f>
        <v/>
      </c>
      <c r="H5">
        <f>IF(E5&lt;=0,0,IF(E5/Fractions!$F$3&lt;Constants!$B$10,0.002*(E5/Fractions!$F$3)^7.5,14*(1-0.894/SQRT(E5/Fractions!$F$3))^4.5))*Fractions!$B$3*F5^3/((Constants!$B$12-1)*Constants!$B$2)</f>
        <v/>
      </c>
      <c r="I5">
        <f>IF(E5&lt;=0,0,IF(E5/Fractions!$F$4&lt;Constants!$B$10,0.002*(E5/Fractions!$F$4)^7.5,14*(1-0.894/SQRT(E5/Fractions!$F$4))^4.5))*Fractions!$B$4*F5^3/((Constants!$B$12-1)*Constants!$B$2)</f>
        <v/>
      </c>
      <c r="J5">
        <f>IF(E5&lt;=0,0,IF(E5/Fractions!$F$5&lt;Constants!$B$10,0.002*(E5/Fractions!$F$5)^7.5,14*(1-0.894/SQRT(E5/Fractions!$F$5))^4.5))*Fractions!$B$5*F5^3/((Constants!$B$12-1)*Constants!$B$2)</f>
        <v/>
      </c>
      <c r="K5">
        <f>IF(E5&lt;=0,0,IF(E5/Fractions!$F$6&lt;Constants!$B$10,0.002*(E5/Fractions!$F$6)^7.5,14*(1-0.894/SQRT(E5/Fractions!$F$6))^4.5))*Fractions!$B$6*F5^3/((Constants!$B$12-1)*Constants!$B$2)</f>
        <v/>
      </c>
      <c r="L5">
        <f>SUM(G5:K5)</f>
        <v/>
      </c>
      <c r="M5">
        <f>YEAR(A5)</f>
        <v/>
      </c>
      <c r="O5" t="inlineStr">
        <is>
          <t>water</t>
        </is>
      </c>
      <c r="P5" t="n">
        <v>2010</v>
      </c>
      <c r="Q5">
        <f>AVERAGEIF($C$2:$C$9,P5,$B$2:$B$9)</f>
        <v/>
      </c>
      <c r="R5">
        <f>AVERAGEIF($C$2:$C$9,P5,$L$2:$L$9)</f>
        <v/>
      </c>
      <c r="S5">
        <f>R5*Constants!$B$6*Constants!$B$11</f>
        <v/>
      </c>
      <c r="T5">
        <f>S5*Constants!$B$14</f>
        <v/>
      </c>
    </row>
    <row r="6">
      <c r="A6" s="2" t="n">
        <v>40344</v>
      </c>
      <c r="B6" t="n">
        <v>25</v>
      </c>
      <c r="C6">
        <f>IF(MONTH(A6)&gt;=10,YEAR(A6)+1,YEAR(A6))</f>
        <v/>
      </c>
      <c r="D6">
        <f>B6/(Constants!$B$6*Constants!$B$5)</f>
        <v/>
      </c>
      <c r="E6">
        <f>Constants!$B$3*Constants!$B$2*Constants!$B$7^2*D6^2/Constants!$B$5^(1/3)</f>
        <v/>
      </c>
      <c r="F6">
        <f>SQRT(E6/Constants!$B$3)</f>
        <v/>
      </c>
      <c r="G6">
        <f>IF(E6&lt;=0,0,IF(E6/Fractions!$F$2&lt;Constants!$B$10,0.002*(E6/Fractions!$F$2)^7.5,14*(1-0.894/SQRT(E6/Fractions!$F$2))^4.5))*Fractions!$B$2*F6^3/((Constants!$B$12-1)*Constants!$B$2)</f>
        <v/>
      </c>
      <c r="H6">
        <f>IF(E6&lt;=0,0,IF(E6/Fractions!$F$3&lt;Constants!$B$10,0.002*(E6/Fractions!$F$3)^7.5,14*(1-0.894/SQRT(E6/Fractions!$F$3))^4.5))*Fractions!$B$3*F6^3/((Constants!$B$12-1)*Constants!$B$2)</f>
        <v/>
      </c>
      <c r="I6">
        <f>IF(E6&lt;=0,0,IF(E6/Fractions!$F$4&lt;Constants!$B$10,0.002*(E6/Fractions!$F$4)^7.5,14*(1-0.894/SQRT(E6/Fractions!$F$4))^4.5))*Fractions!$B$4*F6^3/((Constants!$B$12-1)*Constants!$B$2)</f>
        <v/>
      </c>
      <c r="J6">
        <f>IF(E6&lt;=0,0,IF(E6/Fractions!$F$5&lt;Constants!$B$10,0.002*(E6/Fractions!$F$5)^7.5,14*(1-0.894/SQRT(E6/Fractions!$F$5))^4.5))*Fractions!$B$5*F6^3/((Constants!$B$12-1)*Constants!$B$2)</f>
        <v/>
      </c>
      <c r="K6">
        <f>IF(E6&lt;=0,0,IF(E6/Fractions!$F$6&lt;Constants!$B$10,0.002*(E6/Fractions!$F$6)^7.5,14*(1-0.894/SQRT(E6/Fractions!$F$6))^4.5))*Fractions!$B$6*F6^3/((Constants!$B$12-1)*Constants!$B$2)</f>
        <v/>
      </c>
      <c r="L6">
        <f>SUM(G6:K6)</f>
        <v/>
      </c>
      <c r="M6">
        <f>YEAR(A6)</f>
        <v/>
      </c>
      <c r="O6" t="inlineStr">
        <is>
          <t>water</t>
        </is>
      </c>
      <c r="P6" t="n">
        <v>2011</v>
      </c>
      <c r="Q6">
        <f>AVERAGEIF($C$2:$C$9,P6,$B$2:$B$9)</f>
        <v/>
      </c>
      <c r="R6">
        <f>AVERAGEIF($C$2:$C$9,P6,$L$2:$L$9)</f>
        <v/>
      </c>
      <c r="S6">
        <f>R6*Constants!$B$6*Constants!$B$11</f>
        <v/>
      </c>
      <c r="T6">
        <f>S6*Constants!$B$14</f>
        <v/>
      </c>
    </row>
    <row r="7">
      <c r="A7" s="2" t="n">
        <v>40451</v>
      </c>
      <c r="B7" t="n">
        <v>14.4</v>
      </c>
      <c r="C7">
        <f>IF(MONTH(A7)&gt;=10,YEAR(A7)+1,YEAR(A7))</f>
        <v/>
      </c>
      <c r="D7">
        <f>B7/(Constants!$B$6*Constants!$B$5)</f>
        <v/>
      </c>
      <c r="E7">
        <f>Constants!$B$3*Constants!$B$2*Constants!$B$7^2*D7^2/Constants!$B$5^(1/3)</f>
        <v/>
      </c>
      <c r="F7">
        <f>SQRT(E7/Constants!$B$3)</f>
        <v/>
      </c>
      <c r="G7">
        <f>IF(E7&lt;=0,0,IF(E7/Fractions!$F$2&lt;Constants!$B$10,0.002*(E7/Fractions!$F$2)^7.5,14*(1-0.894/SQRT(E7/Fractions!$F$2))^4.5))*Fractions!$B$2*F7^3/((Constants!$B$12-1)*Constants!$B$2)</f>
        <v/>
      </c>
      <c r="H7">
        <f>IF(E7&lt;=0,0,IF(E7/Fractions!$F$3&lt;Constants!$B$10,0.002*(E7/Fractions!$F$3)^7.5,14*(1-0.894/SQRT(E7/Fractions!$F$3))^4.5))*Fractions!$B$3*F7^3/((Constants!$B$12-1)*Constants!$B$2)</f>
        <v/>
      </c>
      <c r="I7">
        <f>IF(E7&lt;=0,0,IF(E7/Fractions!$F$4&lt;Constants!$B$10,0.002*(E7/Fractions!$F$4)^7.5,14*(1-0.894/SQRT(E7/Fractions!$F$4))^4.5))*Fractions!$B$4*F7^3/((Constants!$B$12-1)*Constants!$B$2)</f>
        <v/>
      </c>
      <c r="J7">
        <f>IF(E7&lt;=0,0,IF(E7/Fractions!$F$5&lt;Constants!$B$10,0.002*(E7/Fractions!$F$5)^7.5,14*(1-0.894/SQRT(E7/Fractions!$F$5))^4.5))*Fractions!$B$5*F7^3/((Constants!$B$12-1)*Constants!$B$2)</f>
        <v/>
      </c>
      <c r="K7">
        <f>IF(E7&lt;=0,0,IF(E7/Fractions!$F$6&lt;Constants!$B$10,0.002*(E7/Fractions!$F$6)^7.5,14*(1-0.894/SQRT(E7/Fractions!$F$6))^4.5))*Fractions!$B$6*F7^3/((Constants!$B$12-1)*Constants!$B$2)</f>
        <v/>
      </c>
      <c r="L7">
        <f>SUM(G7:K7)</f>
        <v/>
      </c>
      <c r="M7">
        <f>YEAR(A7)</f>
        <v/>
      </c>
    </row>
    <row r="8">
      <c r="A8" s="2" t="n">
        <v>40452</v>
      </c>
      <c r="B8" t="n">
        <v>31</v>
      </c>
      <c r="C8">
        <f>IF(MONTH(A8)&gt;=10,YEAR(A8)+1,YEAR(A8))</f>
        <v/>
      </c>
      <c r="D8">
        <f>B8/(Constants!$B$6*Constants!$B$5)</f>
        <v/>
      </c>
      <c r="E8">
        <f>Constants!$B$3*Constants!$B$2*Constants!$B$7^2*D8^2/Constants!$B$5^(1/3)</f>
        <v/>
      </c>
      <c r="F8">
        <f>SQRT(E8/Constants!$B$3)</f>
        <v/>
      </c>
      <c r="G8">
        <f>IF(E8&lt;=0,0,IF(E8/Fractions!$F$2&lt;Constants!$B$10,0.002*(E8/Fractions!$F$2)^7.5,14*(1-0.894/SQRT(E8/Fractions!$F$2))^4.5))*Fractions!$B$2*F8^3/((Constants!$B$12-1)*Constants!$B$2)</f>
        <v/>
      </c>
      <c r="H8">
        <f>IF(E8&lt;=0,0,IF(E8/Fractions!$F$3&lt;Constants!$B$10,0.002*(E8/Fractions!$F$3)^7.5,14*(1-0.894/SQRT(E8/Fractions!$F$3))^4.5))*Fractions!$B$3*F8^3/((Constants!$B$12-1)*Constants!$B$2)</f>
        <v/>
      </c>
      <c r="I8">
        <f>IF(E8&lt;=0,0,IF(E8/Fractions!$F$4&lt;Constants!$B$10,0.002*(E8/Fractions!$F$4)^7.5,14*(1-0.894/SQRT(E8/Fractions!$F$4))^4.5))*Fractions!$B$4*F8^3/((Constants!$B$12-1)*Constants!$B$2)</f>
        <v/>
      </c>
      <c r="J8">
        <f>IF(E8&lt;=0,0,IF(E8/Fractions!$F$5&lt;Constants!$B$10,0.002*(E8/Fractions!$F$5)^7.5,14*(1-0.894/SQRT(E8/Fractions!$F$5))^4.5))*Fractions!$B$5*F8^3/((Constants!$B$12-1)*Constants!$B$2)</f>
        <v/>
      </c>
      <c r="K8">
        <f>IF(E8&lt;=0,0,IF(E8/Fractions!$F$6&lt;Constants!$B$10,0.002*(E8/Fractions!$F$6)^7.5,14*(1-0.894/SQRT(E8/Fractions!$F$6))^4.5))*Fractions!$B$6*F8^3/((Constants!$B$12-1)*Constants!$B$2)</f>
        <v/>
      </c>
      <c r="L8">
        <f>SUM(G8:K8)</f>
        <v/>
      </c>
      <c r="M8">
        <f>YEAR(A8)</f>
        <v/>
      </c>
    </row>
    <row r="9">
      <c r="A9" s="2" t="n">
        <v>40543</v>
      </c>
      <c r="B9" t="n">
        <v>6.5</v>
      </c>
      <c r="C9">
        <f>IF(MONTH(A9)&gt;=10,YEAR(A9)+1,YEAR(A9))</f>
        <v/>
      </c>
      <c r="D9">
        <f>B9/(Constants!$B$6*Constants!$B$5)</f>
        <v/>
      </c>
      <c r="E9">
        <f>Constants!$B$3*Constants!$B$2*Constants!$B$7^2*D9^2/Constants!$B$5^(1/3)</f>
        <v/>
      </c>
      <c r="F9">
        <f>SQRT(E9/Constants!$B$3)</f>
        <v/>
      </c>
      <c r="G9">
        <f>IF(E9&lt;=0,0,IF(E9/Fractions!$F$2&lt;Constants!$B$10,0.002*(E9/Fractions!$F$2)^7.5,14*(1-0.894/SQRT(E9/Fractions!$F$2))^4.5))*Fractions!$B$2*F9^3/((Constants!$B$12-1)*Constants!$B$2)</f>
        <v/>
      </c>
      <c r="H9">
        <f>IF(E9&lt;=0,0,IF(E9/Fractions!$F$3&lt;Constants!$B$10,0.002*(E9/Fractions!$F$3)^7.5,14*(1-0.894/SQRT(E9/Fractions!$F$3))^4.5))*Fractions!$B$3*F9^3/((Constants!$B$12-1)*Constants!$B$2)</f>
        <v/>
      </c>
      <c r="I9">
        <f>IF(E9&lt;=0,0,IF(E9/Fractions!$F$4&lt;Constants!$B$10,0.002*(E9/Fractions!$F$4)^7.5,14*(1-0.894/SQRT(E9/Fractions!$F$4))^4.5))*Fractions!$B$4*F9^3/((Constants!$B$12-1)*Constants!$B$2)</f>
        <v/>
      </c>
      <c r="J9">
        <f>IF(E9&lt;=0,0,IF(E9/Fractions!$F$5&lt;Constants!$B$10,0.002*(E9/Fractions!$F$5)^7.5,14*(1-0.894/SQRT(E9/Fractions!$F$5))^4.5))*Fractions!$B$5*F9^3/((Constants!$B$12-1)*Constants!$B$2)</f>
        <v/>
      </c>
      <c r="K9">
        <f>IF(E9&lt;=0,0,IF(E9/Fractions!$F$6&lt;Constants!$B$10,0.002*(E9/Fractions!$F$6)^7.5,14*(1-0.894/SQRT(E9/Fractions!$F$6))^4.5))*Fractions!$B$6*F9^3/((Constants!$B$12-1)*Constants!$B$2)</f>
        <v/>
      </c>
      <c r="L9">
        <f>SUM(G9:K9)</f>
        <v/>
      </c>
      <c r="M9">
        <f>YEAR(A9)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2026-10-26T08:56:00Z</dcterms:created>
  <dcterms:modified xsi:type="dcterms:W3CDTF">2026-10-26T08:56:00Z</dcterms:modified>
</cp:coreProperties>
</file>