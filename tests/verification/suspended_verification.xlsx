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3.1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2" customWidth="1" min="4" max="4"/>
    <col width="12" customWidth="1" min="5" max="5"/>
    <col width="16" customWidth="1" min="6" max="6"/>
    <col width="22" customWidth="1" min="7" max="7"/>
    <col width="22" customWidth="1" min="8" max="8"/>
    <col width="28" customWidth="1" min="9" max="9"/>
    <col width="22" customWidth="1" min="10" max="10"/>
    <col width="22" customWidth="1" min="11" max="11"/>
    <col width="22" customWidth="1" min="12" max="12"/>
    <col width="24" customWidth="1" min="13" max="13"/>
    <col width="24" customWidth="1" min="15" max="15"/>
  </cols>
  <sheetData>
    <row r="1">
      <c r="A1" s="1" t="inlineStr">
        <is>
          <t>Case</t>
        </is>
      </c>
      <c r="B1" s="1" t="inlineStr">
        <is>
          <t>Description</t>
        </is>
      </c>
      <c r="C1" s="1" t="inlineStr">
        <is>
          <t>Zonal mean E (t/ha/yr)</t>
        </is>
      </c>
      <c r="D1" s="1" t="inlineStr">
        <is>
          <t>Area A (km2)</t>
        </is>
      </c>
      <c r="E1" s="1" t="inlineStr">
        <is>
          <t>Slope S (m/m)</t>
        </is>
      </c>
      <c r="F1" s="1" t="inlineStr">
        <is>
          <t>Area (ha) = 100 A</t>
        </is>
      </c>
      <c r="G1" s="1" t="inlineStr">
        <is>
          <t>Gross erosion G (t/yr) = E x ha</t>
        </is>
      </c>
      <c r="H1" s="1" t="inlineStr">
        <is>
          <t>SIO USDA-SCS = 0.51 A^-0.11</t>
        </is>
      </c>
      <c r="I1" s="1" t="inlineStr">
        <is>
          <t>SIO CEM = 1 / (2.05823 + 0.02816 S^2)</t>
        </is>
      </c>
      <c r="J1" s="1" t="inlineStr">
        <is>
          <t>SIO average = (USDA + CEM) / 2</t>
        </is>
      </c>
      <c r="K1" s="1" t="inlineStr">
        <is>
          <t>Yield mass Y (t/yr) = G x SIO</t>
        </is>
      </c>
      <c r="L1" s="1" t="inlineStr">
        <is>
          <t>Volume Vs (m3/yr) = Y / 1.3</t>
        </is>
      </c>
      <c r="M1" s="1" t="inlineStr">
        <is>
          <t>Specific yield (m3/yr/km2) = Vs / A</t>
        </is>
      </c>
      <c r="O1" t="inlineStr">
        <is>
          <t>Constant</t>
        </is>
      </c>
      <c r="P1" t="inlineStr">
        <is>
          <t>Value</t>
        </is>
      </c>
    </row>
    <row r="2">
      <c r="A2" t="n">
        <v>1</v>
      </c>
      <c r="B2" t="inlineStr">
        <is>
          <t>Kavsakkaya sample sub-basin</t>
        </is>
      </c>
      <c r="C2" t="n">
        <v>3.148701574</v>
      </c>
      <c r="D2" t="n">
        <v>309.2</v>
      </c>
      <c r="E2" t="n">
        <v>0.23</v>
      </c>
      <c r="F2">
        <f>$P$2*D2</f>
        <v/>
      </c>
      <c r="G2">
        <f>C2*F2</f>
        <v/>
      </c>
      <c r="H2">
        <f>$P$3*D2^$P$4</f>
        <v/>
      </c>
      <c r="I2">
        <f>1/($P$5+$P$6*E2^2)</f>
        <v/>
      </c>
      <c r="J2">
        <f>(H2+I2)/2</f>
        <v/>
      </c>
      <c r="K2">
        <f>G2*J2</f>
        <v/>
      </c>
      <c r="L2">
        <f>K2/$P$7</f>
        <v/>
      </c>
      <c r="M2">
        <f>L2/D2</f>
        <v/>
      </c>
      <c r="O2" t="inlineStr">
        <is>
          <t>Hectares per km2</t>
        </is>
      </c>
      <c r="P2" t="n">
        <v>100</v>
      </c>
    </row>
    <row r="3">
      <c r="A3" t="n">
        <v>2</v>
      </c>
      <c r="B3" t="inlineStr">
        <is>
          <t>Cubuk 1 sample sub-basin</t>
        </is>
      </c>
      <c r="C3" t="n">
        <v>3.148701574</v>
      </c>
      <c r="D3" t="n">
        <v>834.7</v>
      </c>
      <c r="E3" t="n">
        <v>0.09</v>
      </c>
      <c r="F3">
        <f>$P$2*D3</f>
        <v/>
      </c>
      <c r="G3">
        <f>C3*F3</f>
        <v/>
      </c>
      <c r="H3">
        <f>$P$3*D3^$P$4</f>
        <v/>
      </c>
      <c r="I3">
        <f>1/($P$5+$P$6*E3^2)</f>
        <v/>
      </c>
      <c r="J3">
        <f>(H3+I3)/2</f>
        <v/>
      </c>
      <c r="K3">
        <f>G3*J3</f>
        <v/>
      </c>
      <c r="L3">
        <f>K3/$P$7</f>
        <v/>
      </c>
      <c r="M3">
        <f>L3/D3</f>
        <v/>
      </c>
      <c r="O3" t="inlineStr">
        <is>
          <t>USDA-SCS coefficient</t>
        </is>
      </c>
      <c r="P3" t="n">
        <v>0.51</v>
      </c>
    </row>
    <row r="4">
      <c r="A4" t="n">
        <v>3</v>
      </c>
      <c r="B4" t="inlineStr">
        <is>
          <t>Cubuk 2 sample sub-basin</t>
        </is>
      </c>
      <c r="C4" t="n">
        <v>3.148701574</v>
      </c>
      <c r="D4" t="n">
        <v>180.2</v>
      </c>
      <c r="E4" t="n">
        <v>0.16</v>
      </c>
      <c r="F4">
        <f>$P$2*D4</f>
        <v/>
      </c>
      <c r="G4">
        <f>C4*F4</f>
        <v/>
      </c>
      <c r="H4">
        <f>$P$3*D4^$P$4</f>
        <v/>
      </c>
      <c r="I4">
        <f>1/($P$5+$P$6*E4^2)</f>
        <v/>
      </c>
      <c r="J4">
        <f>(H4+I4)/2</f>
        <v/>
      </c>
      <c r="K4">
        <f>G4*J4</f>
        <v/>
      </c>
      <c r="L4">
        <f>K4/$P$7</f>
        <v/>
      </c>
      <c r="M4">
        <f>L4/D4</f>
        <v/>
      </c>
      <c r="O4" t="inlineStr">
        <is>
          <t>USDA-SCS exponent</t>
        </is>
      </c>
      <c r="P4" t="n">
        <v>-0.11</v>
      </c>
    </row>
    <row r="5">
      <c r="A5" t="n">
        <v>4</v>
      </c>
      <c r="B5" t="inlineStr">
        <is>
          <t>Unit area, flat, round mean</t>
        </is>
      </c>
      <c r="C5" t="n">
        <v>10</v>
      </c>
      <c r="D5" t="n">
        <v>1</v>
      </c>
      <c r="E5" t="n">
        <v>0</v>
      </c>
      <c r="F5">
        <f>$P$2*D5</f>
        <v/>
      </c>
      <c r="G5">
        <f>C5*F5</f>
        <v/>
      </c>
      <c r="H5">
        <f>$P$3*D5^$P$4</f>
        <v/>
      </c>
      <c r="I5">
        <f>1/($P$5+$P$6*E5^2)</f>
        <v/>
      </c>
      <c r="J5">
        <f>(H5+I5)/2</f>
        <v/>
      </c>
      <c r="K5">
        <f>G5*J5</f>
        <v/>
      </c>
      <c r="L5">
        <f>K5/$P$7</f>
        <v/>
      </c>
      <c r="M5">
        <f>L5/D5</f>
        <v/>
      </c>
      <c r="O5" t="inlineStr">
        <is>
          <t>CEM intercept</t>
        </is>
      </c>
      <c r="P5" t="n">
        <v>2.05823</v>
      </c>
    </row>
    <row r="6">
      <c r="A6" t="n">
        <v>5</v>
      </c>
      <c r="B6" t="inlineStr">
        <is>
          <t>Mid-size steep basin</t>
        </is>
      </c>
      <c r="C6" t="n">
        <v>2.5</v>
      </c>
      <c r="D6" t="n">
        <v>100</v>
      </c>
      <c r="E6" t="n">
        <v>0.5</v>
      </c>
      <c r="F6">
        <f>$P$2*D6</f>
        <v/>
      </c>
      <c r="G6">
        <f>C6*F6</f>
        <v/>
      </c>
      <c r="H6">
        <f>$P$3*D6^$P$4</f>
        <v/>
      </c>
      <c r="I6">
        <f>1/($P$5+$P$6*E6^2)</f>
        <v/>
      </c>
      <c r="J6">
        <f>(H6+I6)/2</f>
        <v/>
      </c>
      <c r="K6">
        <f>G6*J6</f>
        <v/>
      </c>
      <c r="L6">
        <f>K6/$P$7</f>
        <v/>
      </c>
      <c r="M6">
        <f>L6/D6</f>
        <v/>
      </c>
      <c r="O6" t="inlineStr">
        <is>
          <t>CEM slope term</t>
        </is>
      </c>
      <c r="P6" t="n">
        <v>0.02816</v>
      </c>
    </row>
    <row r="7">
      <c r="A7" t="n">
        <v>6</v>
      </c>
      <c r="B7" t="inlineStr">
        <is>
          <t>Small very steep basin</t>
        </is>
      </c>
      <c r="C7" t="n">
        <v>40</v>
      </c>
      <c r="D7" t="n">
        <v>0.25</v>
      </c>
      <c r="E7" t="n">
        <v>1.2</v>
      </c>
      <c r="F7">
        <f>$P$2*D7</f>
        <v/>
      </c>
      <c r="G7">
        <f>C7*F7</f>
        <v/>
      </c>
      <c r="H7">
        <f>$P$3*D7^$P$4</f>
        <v/>
      </c>
      <c r="I7">
        <f>1/($P$5+$P$6*E7^2)</f>
        <v/>
      </c>
      <c r="J7">
        <f>(H7+I7)/2</f>
        <v/>
      </c>
      <c r="K7">
        <f>G7*J7</f>
        <v/>
      </c>
      <c r="L7">
        <f>K7/$P$7</f>
        <v/>
      </c>
      <c r="M7">
        <f>L7/D7</f>
        <v/>
      </c>
      <c r="O7" t="inlineStr">
        <is>
          <t>Bulk density (t/m3)</t>
        </is>
      </c>
      <c r="P7" t="n">
        <v>1.3</v>
      </c>
    </row>
    <row r="8">
      <c r="A8" t="n">
        <v>7</v>
      </c>
      <c r="B8" t="inlineStr">
        <is>
          <t>Zero erosion mean</t>
        </is>
      </c>
      <c r="C8" t="n">
        <v>0</v>
      </c>
      <c r="D8" t="n">
        <v>50</v>
      </c>
      <c r="E8" t="n">
        <v>0.1</v>
      </c>
      <c r="F8">
        <f>$P$2*D8</f>
        <v/>
      </c>
      <c r="G8">
        <f>C8*F8</f>
        <v/>
      </c>
      <c r="H8">
        <f>$P$3*D8^$P$4</f>
        <v/>
      </c>
      <c r="I8">
        <f>1/($P$5+$P$6*E8^2)</f>
        <v/>
      </c>
      <c r="J8">
        <f>(H8+I8)/2</f>
        <v/>
      </c>
      <c r="K8">
        <f>G8*J8</f>
        <v/>
      </c>
      <c r="L8">
        <f>K8/$P$7</f>
        <v/>
      </c>
      <c r="M8">
        <f>L8/D8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2026-10-25T07:02:18Z</dcterms:created>
  <dcterms:modified xsi:type="dcterms:W3CDTF">2026-10-25T07:02:18Z</dcterms:modified>
</cp:coreProperties>
</file>