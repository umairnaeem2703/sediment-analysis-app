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34" customWidth="1" min="3" max="3"/>
    <col width="30" customWidth="1" min="4" max="4"/>
    <col width="28" customWidth="1" min="5" max="5"/>
    <col width="30" customWidth="1" min="6" max="6"/>
  </cols>
  <sheetData>
    <row r="1">
      <c r="A1" s="1" t="inlineStr">
        <is>
          <t>Case 1: Record years only, no trap loss</t>
        </is>
      </c>
    </row>
    <row r="3">
      <c r="A3" t="inlineStr">
        <is>
          <t>Hbed (m)</t>
        </is>
      </c>
      <c r="B3" t="n">
        <v>100</v>
      </c>
    </row>
    <row r="4">
      <c r="A4" t="inlineStr">
        <is>
          <t>Hmax (m)</t>
        </is>
      </c>
      <c r="B4" t="n">
        <v>150</v>
      </c>
    </row>
    <row r="5">
      <c r="A5" t="inlineStr">
        <is>
          <t>Hcrest (m)</t>
        </is>
      </c>
      <c r="B5" t="n">
        <v>155</v>
      </c>
    </row>
    <row r="6">
      <c r="A6" t="inlineStr">
        <is>
          <t>Vactive (hm3)</t>
        </is>
      </c>
      <c r="B6" t="n">
        <v>120</v>
      </c>
    </row>
    <row r="7">
      <c r="A7" t="inlineStr">
        <is>
          <t>Vmax (hm3)</t>
        </is>
      </c>
      <c r="B7" t="n">
        <v>200</v>
      </c>
    </row>
    <row r="8">
      <c r="A8" t="inlineStr">
        <is>
          <t>Exponent m</t>
        </is>
      </c>
      <c r="B8" t="n">
        <v>2</v>
      </c>
    </row>
    <row r="9">
      <c r="A9" t="inlineStr">
        <is>
          <t>Suspended Vs (m3/yr)</t>
        </is>
      </c>
      <c r="B9" t="n">
        <v>4000000</v>
      </c>
    </row>
    <row r="10">
      <c r="A10" t="inlineStr">
        <is>
          <t>Trap efficiency TE (%)</t>
        </is>
      </c>
      <c r="B10" t="n">
        <v>100</v>
      </c>
    </row>
    <row r="11">
      <c r="A11" t="inlineStr">
        <is>
          <t>Commissioning year c</t>
        </is>
      </c>
      <c r="B11" t="n">
        <v>2001</v>
      </c>
    </row>
    <row r="12">
      <c r="A12" t="inlineStr">
        <is>
          <t>Analysis year a</t>
        </is>
      </c>
      <c r="B12" t="n">
        <v>2006</v>
      </c>
    </row>
    <row r="14">
      <c r="A14" t="inlineStr">
        <is>
          <t>Vdead (hm3) = Vmax - Vactive</t>
        </is>
      </c>
      <c r="B14">
        <f>B7-B6</f>
        <v/>
      </c>
    </row>
    <row r="15">
      <c r="A15" t="inlineStr">
        <is>
          <t>V(Hcrest) (hm3) = Vmax ((Hcrest-Hbed)/(Hmax-Hbed))^m</t>
        </is>
      </c>
      <c r="B15">
        <f>B7*((B5-B3)/(B4-B3))^B8</f>
        <v/>
      </c>
    </row>
    <row r="16">
      <c r="A16" t="inlineStr">
        <is>
          <t>Hmin (m) = H(Vdead)</t>
        </is>
      </c>
      <c r="B16">
        <f>B3+(B4-B3)*(B14/B7)^(1/B8)</f>
        <v/>
      </c>
    </row>
    <row r="18">
      <c r="A18" s="1" t="inlineStr">
        <is>
          <t>Record year</t>
        </is>
      </c>
      <c r="B18" s="1" t="inlineStr">
        <is>
          <t>Bedload Vb (m3/yr)</t>
        </is>
      </c>
      <c r="C18" s="1" t="inlineStr">
        <is>
          <t>T (hm3) = TE/100 (Vs + Vb) / 1e6</t>
        </is>
      </c>
      <c r="D18" s="1" t="inlineStr">
        <is>
          <t>H(T) (m), limited to the crest</t>
        </is>
      </c>
    </row>
    <row r="19">
      <c r="A19" t="n">
        <v>2001</v>
      </c>
      <c r="B19" t="n">
        <v>1000000</v>
      </c>
      <c r="C19">
        <f>$B$10/100*($B$9+B19)/1000000</f>
        <v/>
      </c>
      <c r="D19">
        <f>$B$3+($B$4-$B$3)*(MIN(C19,$B$15)/$B$7)^(1/$B$8)</f>
        <v/>
      </c>
    </row>
    <row r="20">
      <c r="A20" t="n">
        <v>2002</v>
      </c>
      <c r="B20" t="n">
        <v>2500000</v>
      </c>
      <c r="C20">
        <f>$B$10/100*($B$9+B20)/1000000</f>
        <v/>
      </c>
      <c r="D20">
        <f>$B$3+($B$4-$B$3)*(MIN(C20,$B$15)/$B$7)^(1/$B$8)</f>
        <v/>
      </c>
    </row>
    <row r="21">
      <c r="A21" t="n">
        <v>2003</v>
      </c>
      <c r="B21" t="n">
        <v>500000</v>
      </c>
      <c r="C21">
        <f>$B$10/100*($B$9+B21)/1000000</f>
        <v/>
      </c>
      <c r="D21">
        <f>$B$3+($B$4-$B$3)*(MIN(C21,$B$15)/$B$7)^(1/$B$8)</f>
        <v/>
      </c>
    </row>
    <row r="22">
      <c r="A22" t="n">
        <v>2004</v>
      </c>
      <c r="B22" t="n">
        <v>2000000</v>
      </c>
      <c r="C22">
        <f>$B$10/100*($B$9+B22)/1000000</f>
        <v/>
      </c>
      <c r="D22">
        <f>$B$3+($B$4-$B$3)*(MIN(C22,$B$15)/$B$7)^(1/$B$8)</f>
        <v/>
      </c>
    </row>
    <row r="23">
      <c r="A23" t="n">
        <v>2005</v>
      </c>
      <c r="B23" t="n">
        <v>1500000</v>
      </c>
      <c r="C23">
        <f>$B$10/100*($B$9+B23)/1000000</f>
        <v/>
      </c>
      <c r="D23">
        <f>$B$3+($B$4-$B$3)*(MIN(C23,$B$15)/$B$7)^(1/$B$8)</f>
        <v/>
      </c>
    </row>
    <row r="25">
      <c r="A25" t="inlineStr">
        <is>
          <t>Rate, mean (hm3/yr)</t>
        </is>
      </c>
      <c r="B25">
        <f>AVERAGE(C19:C23)</f>
        <v/>
      </c>
    </row>
    <row r="26">
      <c r="A26" t="inlineStr">
        <is>
          <t>Rate, min year (hm3/yr)</t>
        </is>
      </c>
      <c r="B26">
        <f>MIN(C19:C23)</f>
        <v/>
      </c>
    </row>
    <row r="27">
      <c r="A27" t="inlineStr">
        <is>
          <t>Rate, max year (hm3/yr)</t>
        </is>
      </c>
      <c r="B27">
        <f>MAX(C19:C23)</f>
        <v/>
      </c>
    </row>
    <row r="29">
      <c r="A29" t="inlineStr">
        <is>
          <t>Accumulation to date S0 (hm3) = sum of T' for c &lt;= y &lt; a</t>
        </is>
      </c>
      <c r="B29">
        <f>SUM(C37:C41)</f>
        <v/>
      </c>
    </row>
    <row r="30">
      <c r="A30" t="inlineStr">
        <is>
          <t>H(S0) (m), limited to the crest</t>
        </is>
      </c>
      <c r="B30">
        <f>$B$3+($B$4-$B$3)*(MIN(B29,$B$15)/$B$7)^(1/$B$8)</f>
        <v/>
      </c>
    </row>
    <row r="31">
      <c r="A31" t="inlineStr">
        <is>
          <t>Year the dead volume was passed (if S0 &gt;= Vdead)</t>
        </is>
      </c>
      <c r="B31">
        <f>IF(B29&gt;=B14,MIN(E37:E41),"no")</f>
        <v/>
      </c>
    </row>
    <row r="32">
      <c r="A32" t="inlineStr">
        <is>
          <t>Lifespan at the mean rate: a + (Vdead - S0) / r</t>
        </is>
      </c>
      <c r="B32">
        <f>IF($B$29&gt;=$B$14,"exceeded",IF(B25=0,"not reached",$B$12+($B$14-$B$29)/B25))</f>
        <v/>
      </c>
    </row>
    <row r="33">
      <c r="A33" t="inlineStr">
        <is>
          <t>Lifespan at the min rate: a + (Vdead - S0) / r</t>
        </is>
      </c>
      <c r="B33">
        <f>IF($B$29&gt;=$B$14,"exceeded",IF(B26=0,"not reached",$B$12+($B$14-$B$29)/B26))</f>
        <v/>
      </c>
    </row>
    <row r="34">
      <c r="A34" t="inlineStr">
        <is>
          <t>Lifespan at the max rate: a + (Vdead - S0) / r</t>
        </is>
      </c>
      <c r="B34">
        <f>IF($B$29&gt;=$B$14,"exceeded",IF(B27=0,"not reached",$B$12+($B$14-$B$29)/B27))</f>
        <v/>
      </c>
    </row>
    <row r="36">
      <c r="A36" s="1" t="inlineStr">
        <is>
          <t>Year c to a-1</t>
        </is>
      </c>
      <c r="B36" s="1" t="inlineStr">
        <is>
          <t>In record (1/0)</t>
        </is>
      </c>
      <c r="C36" s="1" t="inlineStr">
        <is>
          <t>T' used (hm3)</t>
        </is>
      </c>
      <c r="D36" s="1" t="inlineStr">
        <is>
          <t>Cumulative (hm3)</t>
        </is>
      </c>
      <c r="E36" s="1" t="inlineStr">
        <is>
          <t>Year, or +10000 if below Vdead</t>
        </is>
      </c>
    </row>
    <row r="37">
      <c r="A37" t="n">
        <v>2001</v>
      </c>
      <c r="B37">
        <f>COUNTIF($A$19:$A$23,A37)</f>
        <v/>
      </c>
      <c r="C37">
        <f>SUMIF($A$19:$A$23,A37,$C$19:$C$23)+(1-B37)*$B$25</f>
        <v/>
      </c>
      <c r="D37">
        <f>C37</f>
        <v/>
      </c>
      <c r="E37">
        <f>A37+(1-(D37&gt;=$B$14))*10000</f>
        <v/>
      </c>
    </row>
    <row r="38">
      <c r="A38" t="n">
        <v>2002</v>
      </c>
      <c r="B38">
        <f>COUNTIF($A$19:$A$23,A38)</f>
        <v/>
      </c>
      <c r="C38">
        <f>SUMIF($A$19:$A$23,A38,$C$19:$C$23)+(1-B38)*$B$25</f>
        <v/>
      </c>
      <c r="D38">
        <f>D37+C38</f>
        <v/>
      </c>
      <c r="E38">
        <f>A38+(1-(D38&gt;=$B$14))*10000</f>
        <v/>
      </c>
    </row>
    <row r="39">
      <c r="A39" t="n">
        <v>2003</v>
      </c>
      <c r="B39">
        <f>COUNTIF($A$19:$A$23,A39)</f>
        <v/>
      </c>
      <c r="C39">
        <f>SUMIF($A$19:$A$23,A39,$C$19:$C$23)+(1-B39)*$B$25</f>
        <v/>
      </c>
      <c r="D39">
        <f>D38+C39</f>
        <v/>
      </c>
      <c r="E39">
        <f>A39+(1-(D39&gt;=$B$14))*10000</f>
        <v/>
      </c>
    </row>
    <row r="40">
      <c r="A40" t="n">
        <v>2004</v>
      </c>
      <c r="B40">
        <f>COUNTIF($A$19:$A$23,A40)</f>
        <v/>
      </c>
      <c r="C40">
        <f>SUMIF($A$19:$A$23,A40,$C$19:$C$23)+(1-B40)*$B$25</f>
        <v/>
      </c>
      <c r="D40">
        <f>D39+C40</f>
        <v/>
      </c>
      <c r="E40">
        <f>A40+(1-(D40&gt;=$B$14))*10000</f>
        <v/>
      </c>
    </row>
    <row r="41">
      <c r="A41" t="n">
        <v>2005</v>
      </c>
      <c r="B41">
        <f>COUNTIF($A$19:$A$23,A41)</f>
        <v/>
      </c>
      <c r="C41">
        <f>SUMIF($A$19:$A$23,A41,$C$19:$C$23)+(1-B41)*$B$25</f>
        <v/>
      </c>
      <c r="D41">
        <f>D40+C41</f>
        <v/>
      </c>
      <c r="E41">
        <f>A41+(1-(D41&gt;=$B$14))*10000</f>
        <v/>
      </c>
    </row>
    <row r="44">
      <c r="A44" s="1" t="inlineStr">
        <is>
          <t>Rate</t>
        </is>
      </c>
      <c r="B44" s="1" t="inlineStr">
        <is>
          <t>Years after a (k)</t>
        </is>
      </c>
      <c r="C44" s="1" t="inlineStr">
        <is>
          <t>Year a + k</t>
        </is>
      </c>
      <c r="D44" s="1" t="inlineStr">
        <is>
          <t>r (hm3/yr)</t>
        </is>
      </c>
      <c r="E44" s="1" t="inlineStr">
        <is>
          <t>S0 + k r (hm3)</t>
        </is>
      </c>
      <c r="F44" s="1" t="inlineStr">
        <is>
          <t>H(S) (m), limited to the crest</t>
        </is>
      </c>
    </row>
    <row r="45">
      <c r="A45" t="inlineStr">
        <is>
          <t>Mean</t>
        </is>
      </c>
      <c r="B45" t="n">
        <v>0</v>
      </c>
      <c r="C45">
        <f>$B$12+B45</f>
        <v/>
      </c>
      <c r="D45">
        <f>$B$25</f>
        <v/>
      </c>
      <c r="E45">
        <f>$B$29+B45*D45</f>
        <v/>
      </c>
      <c r="F45">
        <f>$B$3+($B$4-$B$3)*(MIN(E45,$B$15)/$B$7)^(1/$B$8)</f>
        <v/>
      </c>
    </row>
    <row r="46">
      <c r="A46" t="inlineStr">
        <is>
          <t>Mean</t>
        </is>
      </c>
      <c r="B46" t="n">
        <v>1</v>
      </c>
      <c r="C46">
        <f>$B$12+B46</f>
        <v/>
      </c>
      <c r="D46">
        <f>$B$25</f>
        <v/>
      </c>
      <c r="E46">
        <f>$B$29+B46*D46</f>
        <v/>
      </c>
      <c r="F46">
        <f>$B$3+($B$4-$B$3)*(MIN(E46,$B$15)/$B$7)^(1/$B$8)</f>
        <v/>
      </c>
    </row>
    <row r="47">
      <c r="A47" t="inlineStr">
        <is>
          <t>Mean</t>
        </is>
      </c>
      <c r="B47" t="n">
        <v>10</v>
      </c>
      <c r="C47">
        <f>$B$12+B47</f>
        <v/>
      </c>
      <c r="D47">
        <f>$B$25</f>
        <v/>
      </c>
      <c r="E47">
        <f>$B$29+B47*D47</f>
        <v/>
      </c>
      <c r="F47">
        <f>$B$3+($B$4-$B$3)*(MIN(E47,$B$15)/$B$7)^(1/$B$8)</f>
        <v/>
      </c>
    </row>
    <row r="48">
      <c r="A48" t="inlineStr">
        <is>
          <t>Mean</t>
        </is>
      </c>
      <c r="B48" t="n">
        <v>50</v>
      </c>
      <c r="C48">
        <f>$B$12+B48</f>
        <v/>
      </c>
      <c r="D48">
        <f>$B$25</f>
        <v/>
      </c>
      <c r="E48">
        <f>$B$29+B48*D48</f>
        <v/>
      </c>
      <c r="F48">
        <f>$B$3+($B$4-$B$3)*(MIN(E48,$B$15)/$B$7)^(1/$B$8)</f>
        <v/>
      </c>
    </row>
    <row r="49">
      <c r="A49" t="inlineStr">
        <is>
          <t>Mean</t>
        </is>
      </c>
      <c r="B49" t="n">
        <v>100</v>
      </c>
      <c r="C49">
        <f>$B$12+B49</f>
        <v/>
      </c>
      <c r="D49">
        <f>$B$25</f>
        <v/>
      </c>
      <c r="E49">
        <f>$B$29+B49*D49</f>
        <v/>
      </c>
      <c r="F49">
        <f>$B$3+($B$4-$B$3)*(MIN(E49,$B$15)/$B$7)^(1/$B$8)</f>
        <v/>
      </c>
    </row>
    <row r="50">
      <c r="A50" t="inlineStr">
        <is>
          <t>Min</t>
        </is>
      </c>
      <c r="B50" t="n">
        <v>0</v>
      </c>
      <c r="C50">
        <f>$B$12+B50</f>
        <v/>
      </c>
      <c r="D50">
        <f>$B$26</f>
        <v/>
      </c>
      <c r="E50">
        <f>$B$29+B50*D50</f>
        <v/>
      </c>
      <c r="F50">
        <f>$B$3+($B$4-$B$3)*(MIN(E50,$B$15)/$B$7)^(1/$B$8)</f>
        <v/>
      </c>
    </row>
    <row r="51">
      <c r="A51" t="inlineStr">
        <is>
          <t>Min</t>
        </is>
      </c>
      <c r="B51" t="n">
        <v>1</v>
      </c>
      <c r="C51">
        <f>$B$12+B51</f>
        <v/>
      </c>
      <c r="D51">
        <f>$B$26</f>
        <v/>
      </c>
      <c r="E51">
        <f>$B$29+B51*D51</f>
        <v/>
      </c>
      <c r="F51">
        <f>$B$3+($B$4-$B$3)*(MIN(E51,$B$15)/$B$7)^(1/$B$8)</f>
        <v/>
      </c>
    </row>
    <row r="52">
      <c r="A52" t="inlineStr">
        <is>
          <t>Min</t>
        </is>
      </c>
      <c r="B52" t="n">
        <v>10</v>
      </c>
      <c r="C52">
        <f>$B$12+B52</f>
        <v/>
      </c>
      <c r="D52">
        <f>$B$26</f>
        <v/>
      </c>
      <c r="E52">
        <f>$B$29+B52*D52</f>
        <v/>
      </c>
      <c r="F52">
        <f>$B$3+($B$4-$B$3)*(MIN(E52,$B$15)/$B$7)^(1/$B$8)</f>
        <v/>
      </c>
    </row>
    <row r="53">
      <c r="A53" t="inlineStr">
        <is>
          <t>Min</t>
        </is>
      </c>
      <c r="B53" t="n">
        <v>50</v>
      </c>
      <c r="C53">
        <f>$B$12+B53</f>
        <v/>
      </c>
      <c r="D53">
        <f>$B$26</f>
        <v/>
      </c>
      <c r="E53">
        <f>$B$29+B53*D53</f>
        <v/>
      </c>
      <c r="F53">
        <f>$B$3+($B$4-$B$3)*(MIN(E53,$B$15)/$B$7)^(1/$B$8)</f>
        <v/>
      </c>
    </row>
    <row r="54">
      <c r="A54" t="inlineStr">
        <is>
          <t>Min</t>
        </is>
      </c>
      <c r="B54" t="n">
        <v>100</v>
      </c>
      <c r="C54">
        <f>$B$12+B54</f>
        <v/>
      </c>
      <c r="D54">
        <f>$B$26</f>
        <v/>
      </c>
      <c r="E54">
        <f>$B$29+B54*D54</f>
        <v/>
      </c>
      <c r="F54">
        <f>$B$3+($B$4-$B$3)*(MIN(E54,$B$15)/$B$7)^(1/$B$8)</f>
        <v/>
      </c>
    </row>
    <row r="55">
      <c r="A55" t="inlineStr">
        <is>
          <t>Max</t>
        </is>
      </c>
      <c r="B55" t="n">
        <v>0</v>
      </c>
      <c r="C55">
        <f>$B$12+B55</f>
        <v/>
      </c>
      <c r="D55">
        <f>$B$27</f>
        <v/>
      </c>
      <c r="E55">
        <f>$B$29+B55*D55</f>
        <v/>
      </c>
      <c r="F55">
        <f>$B$3+($B$4-$B$3)*(MIN(E55,$B$15)/$B$7)^(1/$B$8)</f>
        <v/>
      </c>
    </row>
    <row r="56">
      <c r="A56" t="inlineStr">
        <is>
          <t>Max</t>
        </is>
      </c>
      <c r="B56" t="n">
        <v>1</v>
      </c>
      <c r="C56">
        <f>$B$12+B56</f>
        <v/>
      </c>
      <c r="D56">
        <f>$B$27</f>
        <v/>
      </c>
      <c r="E56">
        <f>$B$29+B56*D56</f>
        <v/>
      </c>
      <c r="F56">
        <f>$B$3+($B$4-$B$3)*(MIN(E56,$B$15)/$B$7)^(1/$B$8)</f>
        <v/>
      </c>
    </row>
    <row r="57">
      <c r="A57" t="inlineStr">
        <is>
          <t>Max</t>
        </is>
      </c>
      <c r="B57" t="n">
        <v>10</v>
      </c>
      <c r="C57">
        <f>$B$12+B57</f>
        <v/>
      </c>
      <c r="D57">
        <f>$B$27</f>
        <v/>
      </c>
      <c r="E57">
        <f>$B$29+B57*D57</f>
        <v/>
      </c>
      <c r="F57">
        <f>$B$3+($B$4-$B$3)*(MIN(E57,$B$15)/$B$7)^(1/$B$8)</f>
        <v/>
      </c>
    </row>
    <row r="58">
      <c r="A58" t="inlineStr">
        <is>
          <t>Max</t>
        </is>
      </c>
      <c r="B58" t="n">
        <v>50</v>
      </c>
      <c r="C58">
        <f>$B$12+B58</f>
        <v/>
      </c>
      <c r="D58">
        <f>$B$27</f>
        <v/>
      </c>
      <c r="E58">
        <f>$B$29+B58*D58</f>
        <v/>
      </c>
      <c r="F58">
        <f>$B$3+($B$4-$B$3)*(MIN(E58,$B$15)/$B$7)^(1/$B$8)</f>
        <v/>
      </c>
    </row>
    <row r="59">
      <c r="A59" t="inlineStr">
        <is>
          <t>Max</t>
        </is>
      </c>
      <c r="B59" t="n">
        <v>100</v>
      </c>
      <c r="C59">
        <f>$B$12+B59</f>
        <v/>
      </c>
      <c r="D59">
        <f>$B$27</f>
        <v/>
      </c>
      <c r="E59">
        <f>$B$29+B59*D59</f>
        <v/>
      </c>
      <c r="F59">
        <f>$B$3+($B$4-$B$3)*(MIN(E59,$B$15)/$B$7)^(1/$B$8)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34" customWidth="1" min="3" max="3"/>
    <col width="30" customWidth="1" min="4" max="4"/>
    <col width="28" customWidth="1" min="5" max="5"/>
    <col width="30" customWidth="1" min="6" max="6"/>
  </cols>
  <sheetData>
    <row r="1">
      <c r="A1" s="1" t="inlineStr">
        <is>
          <t>Case 2: TE 60 percent, years outside the record at the mean</t>
        </is>
      </c>
    </row>
    <row r="3">
      <c r="A3" t="inlineStr">
        <is>
          <t>Hbed (m)</t>
        </is>
      </c>
      <c r="B3" t="n">
        <v>100</v>
      </c>
    </row>
    <row r="4">
      <c r="A4" t="inlineStr">
        <is>
          <t>Hmax (m)</t>
        </is>
      </c>
      <c r="B4" t="n">
        <v>150</v>
      </c>
    </row>
    <row r="5">
      <c r="A5" t="inlineStr">
        <is>
          <t>Hcrest (m)</t>
        </is>
      </c>
      <c r="B5" t="n">
        <v>155</v>
      </c>
    </row>
    <row r="6">
      <c r="A6" t="inlineStr">
        <is>
          <t>Vactive (hm3)</t>
        </is>
      </c>
      <c r="B6" t="n">
        <v>120</v>
      </c>
    </row>
    <row r="7">
      <c r="A7" t="inlineStr">
        <is>
          <t>Vmax (hm3)</t>
        </is>
      </c>
      <c r="B7" t="n">
        <v>200</v>
      </c>
    </row>
    <row r="8">
      <c r="A8" t="inlineStr">
        <is>
          <t>Exponent m</t>
        </is>
      </c>
      <c r="B8" t="n">
        <v>2</v>
      </c>
    </row>
    <row r="9">
      <c r="A9" t="inlineStr">
        <is>
          <t>Suspended Vs (m3/yr)</t>
        </is>
      </c>
      <c r="B9" t="n">
        <v>4000000</v>
      </c>
    </row>
    <row r="10">
      <c r="A10" t="inlineStr">
        <is>
          <t>Trap efficiency TE (%)</t>
        </is>
      </c>
      <c r="B10" t="n">
        <v>60</v>
      </c>
    </row>
    <row r="11">
      <c r="A11" t="inlineStr">
        <is>
          <t>Commissioning year c</t>
        </is>
      </c>
      <c r="B11" t="n">
        <v>1999</v>
      </c>
    </row>
    <row r="12">
      <c r="A12" t="inlineStr">
        <is>
          <t>Analysis year a</t>
        </is>
      </c>
      <c r="B12" t="n">
        <v>2008</v>
      </c>
    </row>
    <row r="14">
      <c r="A14" t="inlineStr">
        <is>
          <t>Vdead (hm3) = Vmax - Vactive</t>
        </is>
      </c>
      <c r="B14">
        <f>B7-B6</f>
        <v/>
      </c>
    </row>
    <row r="15">
      <c r="A15" t="inlineStr">
        <is>
          <t>V(Hcrest) (hm3) = Vmax ((Hcrest-Hbed)/(Hmax-Hbed))^m</t>
        </is>
      </c>
      <c r="B15">
        <f>B7*((B5-B3)/(B4-B3))^B8</f>
        <v/>
      </c>
    </row>
    <row r="16">
      <c r="A16" t="inlineStr">
        <is>
          <t>Hmin (m) = H(Vdead)</t>
        </is>
      </c>
      <c r="B16">
        <f>B3+(B4-B3)*(B14/B7)^(1/B8)</f>
        <v/>
      </c>
    </row>
    <row r="18">
      <c r="A18" s="1" t="inlineStr">
        <is>
          <t>Record year</t>
        </is>
      </c>
      <c r="B18" s="1" t="inlineStr">
        <is>
          <t>Bedload Vb (m3/yr)</t>
        </is>
      </c>
      <c r="C18" s="1" t="inlineStr">
        <is>
          <t>T (hm3) = TE/100 (Vs + Vb) / 1e6</t>
        </is>
      </c>
      <c r="D18" s="1" t="inlineStr">
        <is>
          <t>H(T) (m), limited to the crest</t>
        </is>
      </c>
    </row>
    <row r="19">
      <c r="A19" t="n">
        <v>2001</v>
      </c>
      <c r="B19" t="n">
        <v>1000000</v>
      </c>
      <c r="C19">
        <f>$B$10/100*($B$9+B19)/1000000</f>
        <v/>
      </c>
      <c r="D19">
        <f>$B$3+($B$4-$B$3)*(MIN(C19,$B$15)/$B$7)^(1/$B$8)</f>
        <v/>
      </c>
    </row>
    <row r="20">
      <c r="A20" t="n">
        <v>2002</v>
      </c>
      <c r="B20" t="n">
        <v>2500000</v>
      </c>
      <c r="C20">
        <f>$B$10/100*($B$9+B20)/1000000</f>
        <v/>
      </c>
      <c r="D20">
        <f>$B$3+($B$4-$B$3)*(MIN(C20,$B$15)/$B$7)^(1/$B$8)</f>
        <v/>
      </c>
    </row>
    <row r="21">
      <c r="A21" t="n">
        <v>2003</v>
      </c>
      <c r="B21" t="n">
        <v>500000</v>
      </c>
      <c r="C21">
        <f>$B$10/100*($B$9+B21)/1000000</f>
        <v/>
      </c>
      <c r="D21">
        <f>$B$3+($B$4-$B$3)*(MIN(C21,$B$15)/$B$7)^(1/$B$8)</f>
        <v/>
      </c>
    </row>
    <row r="22">
      <c r="A22" t="n">
        <v>2004</v>
      </c>
      <c r="B22" t="n">
        <v>2000000</v>
      </c>
      <c r="C22">
        <f>$B$10/100*($B$9+B22)/1000000</f>
        <v/>
      </c>
      <c r="D22">
        <f>$B$3+($B$4-$B$3)*(MIN(C22,$B$15)/$B$7)^(1/$B$8)</f>
        <v/>
      </c>
    </row>
    <row r="23">
      <c r="A23" t="n">
        <v>2005</v>
      </c>
      <c r="B23" t="n">
        <v>1500000</v>
      </c>
      <c r="C23">
        <f>$B$10/100*($B$9+B23)/1000000</f>
        <v/>
      </c>
      <c r="D23">
        <f>$B$3+($B$4-$B$3)*(MIN(C23,$B$15)/$B$7)^(1/$B$8)</f>
        <v/>
      </c>
    </row>
    <row r="25">
      <c r="A25" t="inlineStr">
        <is>
          <t>Rate, mean (hm3/yr)</t>
        </is>
      </c>
      <c r="B25">
        <f>AVERAGE(C19:C23)</f>
        <v/>
      </c>
    </row>
    <row r="26">
      <c r="A26" t="inlineStr">
        <is>
          <t>Rate, min year (hm3/yr)</t>
        </is>
      </c>
      <c r="B26">
        <f>MIN(C19:C23)</f>
        <v/>
      </c>
    </row>
    <row r="27">
      <c r="A27" t="inlineStr">
        <is>
          <t>Rate, max year (hm3/yr)</t>
        </is>
      </c>
      <c r="B27">
        <f>MAX(C19:C23)</f>
        <v/>
      </c>
    </row>
    <row r="29">
      <c r="A29" t="inlineStr">
        <is>
          <t>Accumulation to date S0 (hm3) = sum of T' for c &lt;= y &lt; a</t>
        </is>
      </c>
      <c r="B29">
        <f>SUM(C37:C45)</f>
        <v/>
      </c>
    </row>
    <row r="30">
      <c r="A30" t="inlineStr">
        <is>
          <t>H(S0) (m), limited to the crest</t>
        </is>
      </c>
      <c r="B30">
        <f>$B$3+($B$4-$B$3)*(MIN(B29,$B$15)/$B$7)^(1/$B$8)</f>
        <v/>
      </c>
    </row>
    <row r="31">
      <c r="A31" t="inlineStr">
        <is>
          <t>Year the dead volume was passed (if S0 &gt;= Vdead)</t>
        </is>
      </c>
      <c r="B31">
        <f>IF(B29&gt;=B14,MIN(E37:E45),"no")</f>
        <v/>
      </c>
    </row>
    <row r="32">
      <c r="A32" t="inlineStr">
        <is>
          <t>Lifespan at the mean rate: a + (Vdead - S0) / r</t>
        </is>
      </c>
      <c r="B32">
        <f>IF($B$29&gt;=$B$14,"exceeded",IF(B25=0,"not reached",$B$12+($B$14-$B$29)/B25))</f>
        <v/>
      </c>
    </row>
    <row r="33">
      <c r="A33" t="inlineStr">
        <is>
          <t>Lifespan at the min rate: a + (Vdead - S0) / r</t>
        </is>
      </c>
      <c r="B33">
        <f>IF($B$29&gt;=$B$14,"exceeded",IF(B26=0,"not reached",$B$12+($B$14-$B$29)/B26))</f>
        <v/>
      </c>
    </row>
    <row r="34">
      <c r="A34" t="inlineStr">
        <is>
          <t>Lifespan at the max rate: a + (Vdead - S0) / r</t>
        </is>
      </c>
      <c r="B34">
        <f>IF($B$29&gt;=$B$14,"exceeded",IF(B27=0,"not reached",$B$12+($B$14-$B$29)/B27))</f>
        <v/>
      </c>
    </row>
    <row r="36">
      <c r="A36" s="1" t="inlineStr">
        <is>
          <t>Year c to a-1</t>
        </is>
      </c>
      <c r="B36" s="1" t="inlineStr">
        <is>
          <t>In record (1/0)</t>
        </is>
      </c>
      <c r="C36" s="1" t="inlineStr">
        <is>
          <t>T' used (hm3)</t>
        </is>
      </c>
      <c r="D36" s="1" t="inlineStr">
        <is>
          <t>Cumulative (hm3)</t>
        </is>
      </c>
      <c r="E36" s="1" t="inlineStr">
        <is>
          <t>Year, or +10000 if below Vdead</t>
        </is>
      </c>
    </row>
    <row r="37">
      <c r="A37" t="n">
        <v>1999</v>
      </c>
      <c r="B37">
        <f>COUNTIF($A$19:$A$23,A37)</f>
        <v/>
      </c>
      <c r="C37">
        <f>SUMIF($A$19:$A$23,A37,$C$19:$C$23)+(1-B37)*$B$25</f>
        <v/>
      </c>
      <c r="D37">
        <f>C37</f>
        <v/>
      </c>
      <c r="E37">
        <f>A37+(1-(D37&gt;=$B$14))*10000</f>
        <v/>
      </c>
    </row>
    <row r="38">
      <c r="A38" t="n">
        <v>2000</v>
      </c>
      <c r="B38">
        <f>COUNTIF($A$19:$A$23,A38)</f>
        <v/>
      </c>
      <c r="C38">
        <f>SUMIF($A$19:$A$23,A38,$C$19:$C$23)+(1-B38)*$B$25</f>
        <v/>
      </c>
      <c r="D38">
        <f>D37+C38</f>
        <v/>
      </c>
      <c r="E38">
        <f>A38+(1-(D38&gt;=$B$14))*10000</f>
        <v/>
      </c>
    </row>
    <row r="39">
      <c r="A39" t="n">
        <v>2001</v>
      </c>
      <c r="B39">
        <f>COUNTIF($A$19:$A$23,A39)</f>
        <v/>
      </c>
      <c r="C39">
        <f>SUMIF($A$19:$A$23,A39,$C$19:$C$23)+(1-B39)*$B$25</f>
        <v/>
      </c>
      <c r="D39">
        <f>D38+C39</f>
        <v/>
      </c>
      <c r="E39">
        <f>A39+(1-(D39&gt;=$B$14))*10000</f>
        <v/>
      </c>
    </row>
    <row r="40">
      <c r="A40" t="n">
        <v>2002</v>
      </c>
      <c r="B40">
        <f>COUNTIF($A$19:$A$23,A40)</f>
        <v/>
      </c>
      <c r="C40">
        <f>SUMIF($A$19:$A$23,A40,$C$19:$C$23)+(1-B40)*$B$25</f>
        <v/>
      </c>
      <c r="D40">
        <f>D39+C40</f>
        <v/>
      </c>
      <c r="E40">
        <f>A40+(1-(D40&gt;=$B$14))*10000</f>
        <v/>
      </c>
    </row>
    <row r="41">
      <c r="A41" t="n">
        <v>2003</v>
      </c>
      <c r="B41">
        <f>COUNTIF($A$19:$A$23,A41)</f>
        <v/>
      </c>
      <c r="C41">
        <f>SUMIF($A$19:$A$23,A41,$C$19:$C$23)+(1-B41)*$B$25</f>
        <v/>
      </c>
      <c r="D41">
        <f>D40+C41</f>
        <v/>
      </c>
      <c r="E41">
        <f>A41+(1-(D41&gt;=$B$14))*10000</f>
        <v/>
      </c>
    </row>
    <row r="42">
      <c r="A42" t="n">
        <v>2004</v>
      </c>
      <c r="B42">
        <f>COUNTIF($A$19:$A$23,A42)</f>
        <v/>
      </c>
      <c r="C42">
        <f>SUMIF($A$19:$A$23,A42,$C$19:$C$23)+(1-B42)*$B$25</f>
        <v/>
      </c>
      <c r="D42">
        <f>D41+C42</f>
        <v/>
      </c>
      <c r="E42">
        <f>A42+(1-(D42&gt;=$B$14))*10000</f>
        <v/>
      </c>
    </row>
    <row r="43">
      <c r="A43" t="n">
        <v>2005</v>
      </c>
      <c r="B43">
        <f>COUNTIF($A$19:$A$23,A43)</f>
        <v/>
      </c>
      <c r="C43">
        <f>SUMIF($A$19:$A$23,A43,$C$19:$C$23)+(1-B43)*$B$25</f>
        <v/>
      </c>
      <c r="D43">
        <f>D42+C43</f>
        <v/>
      </c>
      <c r="E43">
        <f>A43+(1-(D43&gt;=$B$14))*10000</f>
        <v/>
      </c>
    </row>
    <row r="44">
      <c r="A44" t="n">
        <v>2006</v>
      </c>
      <c r="B44">
        <f>COUNTIF($A$19:$A$23,A44)</f>
        <v/>
      </c>
      <c r="C44">
        <f>SUMIF($A$19:$A$23,A44,$C$19:$C$23)+(1-B44)*$B$25</f>
        <v/>
      </c>
      <c r="D44">
        <f>D43+C44</f>
        <v/>
      </c>
      <c r="E44">
        <f>A44+(1-(D44&gt;=$B$14))*10000</f>
        <v/>
      </c>
    </row>
    <row r="45">
      <c r="A45" t="n">
        <v>2007</v>
      </c>
      <c r="B45">
        <f>COUNTIF($A$19:$A$23,A45)</f>
        <v/>
      </c>
      <c r="C45">
        <f>SUMIF($A$19:$A$23,A45,$C$19:$C$23)+(1-B45)*$B$25</f>
        <v/>
      </c>
      <c r="D45">
        <f>D44+C45</f>
        <v/>
      </c>
      <c r="E45">
        <f>A45+(1-(D45&gt;=$B$14))*10000</f>
        <v/>
      </c>
    </row>
    <row r="48">
      <c r="A48" s="1" t="inlineStr">
        <is>
          <t>Rate</t>
        </is>
      </c>
      <c r="B48" s="1" t="inlineStr">
        <is>
          <t>Years after a (k)</t>
        </is>
      </c>
      <c r="C48" s="1" t="inlineStr">
        <is>
          <t>Year a + k</t>
        </is>
      </c>
      <c r="D48" s="1" t="inlineStr">
        <is>
          <t>r (hm3/yr)</t>
        </is>
      </c>
      <c r="E48" s="1" t="inlineStr">
        <is>
          <t>S0 + k r (hm3)</t>
        </is>
      </c>
      <c r="F48" s="1" t="inlineStr">
        <is>
          <t>H(S) (m), limited to the crest</t>
        </is>
      </c>
    </row>
    <row r="49">
      <c r="A49" t="inlineStr">
        <is>
          <t>Mean</t>
        </is>
      </c>
      <c r="B49" t="n">
        <v>0</v>
      </c>
      <c r="C49">
        <f>$B$12+B49</f>
        <v/>
      </c>
      <c r="D49">
        <f>$B$25</f>
        <v/>
      </c>
      <c r="E49">
        <f>$B$29+B49*D49</f>
        <v/>
      </c>
      <c r="F49">
        <f>$B$3+($B$4-$B$3)*(MIN(E49,$B$15)/$B$7)^(1/$B$8)</f>
        <v/>
      </c>
    </row>
    <row r="50">
      <c r="A50" t="inlineStr">
        <is>
          <t>Mean</t>
        </is>
      </c>
      <c r="B50" t="n">
        <v>1</v>
      </c>
      <c r="C50">
        <f>$B$12+B50</f>
        <v/>
      </c>
      <c r="D50">
        <f>$B$25</f>
        <v/>
      </c>
      <c r="E50">
        <f>$B$29+B50*D50</f>
        <v/>
      </c>
      <c r="F50">
        <f>$B$3+($B$4-$B$3)*(MIN(E50,$B$15)/$B$7)^(1/$B$8)</f>
        <v/>
      </c>
    </row>
    <row r="51">
      <c r="A51" t="inlineStr">
        <is>
          <t>Mean</t>
        </is>
      </c>
      <c r="B51" t="n">
        <v>10</v>
      </c>
      <c r="C51">
        <f>$B$12+B51</f>
        <v/>
      </c>
      <c r="D51">
        <f>$B$25</f>
        <v/>
      </c>
      <c r="E51">
        <f>$B$29+B51*D51</f>
        <v/>
      </c>
      <c r="F51">
        <f>$B$3+($B$4-$B$3)*(MIN(E51,$B$15)/$B$7)^(1/$B$8)</f>
        <v/>
      </c>
    </row>
    <row r="52">
      <c r="A52" t="inlineStr">
        <is>
          <t>Mean</t>
        </is>
      </c>
      <c r="B52" t="n">
        <v>50</v>
      </c>
      <c r="C52">
        <f>$B$12+B52</f>
        <v/>
      </c>
      <c r="D52">
        <f>$B$25</f>
        <v/>
      </c>
      <c r="E52">
        <f>$B$29+B52*D52</f>
        <v/>
      </c>
      <c r="F52">
        <f>$B$3+($B$4-$B$3)*(MIN(E52,$B$15)/$B$7)^(1/$B$8)</f>
        <v/>
      </c>
    </row>
    <row r="53">
      <c r="A53" t="inlineStr">
        <is>
          <t>Mean</t>
        </is>
      </c>
      <c r="B53" t="n">
        <v>100</v>
      </c>
      <c r="C53">
        <f>$B$12+B53</f>
        <v/>
      </c>
      <c r="D53">
        <f>$B$25</f>
        <v/>
      </c>
      <c r="E53">
        <f>$B$29+B53*D53</f>
        <v/>
      </c>
      <c r="F53">
        <f>$B$3+($B$4-$B$3)*(MIN(E53,$B$15)/$B$7)^(1/$B$8)</f>
        <v/>
      </c>
    </row>
    <row r="54">
      <c r="A54" t="inlineStr">
        <is>
          <t>Min</t>
        </is>
      </c>
      <c r="B54" t="n">
        <v>0</v>
      </c>
      <c r="C54">
        <f>$B$12+B54</f>
        <v/>
      </c>
      <c r="D54">
        <f>$B$26</f>
        <v/>
      </c>
      <c r="E54">
        <f>$B$29+B54*D54</f>
        <v/>
      </c>
      <c r="F54">
        <f>$B$3+($B$4-$B$3)*(MIN(E54,$B$15)/$B$7)^(1/$B$8)</f>
        <v/>
      </c>
    </row>
    <row r="55">
      <c r="A55" t="inlineStr">
        <is>
          <t>Min</t>
        </is>
      </c>
      <c r="B55" t="n">
        <v>1</v>
      </c>
      <c r="C55">
        <f>$B$12+B55</f>
        <v/>
      </c>
      <c r="D55">
        <f>$B$26</f>
        <v/>
      </c>
      <c r="E55">
        <f>$B$29+B55*D55</f>
        <v/>
      </c>
      <c r="F55">
        <f>$B$3+($B$4-$B$3)*(MIN(E55,$B$15)/$B$7)^(1/$B$8)</f>
        <v/>
      </c>
    </row>
    <row r="56">
      <c r="A56" t="inlineStr">
        <is>
          <t>Min</t>
        </is>
      </c>
      <c r="B56" t="n">
        <v>10</v>
      </c>
      <c r="C56">
        <f>$B$12+B56</f>
        <v/>
      </c>
      <c r="D56">
        <f>$B$26</f>
        <v/>
      </c>
      <c r="E56">
        <f>$B$29+B56*D56</f>
        <v/>
      </c>
      <c r="F56">
        <f>$B$3+($B$4-$B$3)*(MIN(E56,$B$15)/$B$7)^(1/$B$8)</f>
        <v/>
      </c>
    </row>
    <row r="57">
      <c r="A57" t="inlineStr">
        <is>
          <t>Min</t>
        </is>
      </c>
      <c r="B57" t="n">
        <v>50</v>
      </c>
      <c r="C57">
        <f>$B$12+B57</f>
        <v/>
      </c>
      <c r="D57">
        <f>$B$26</f>
        <v/>
      </c>
      <c r="E57">
        <f>$B$29+B57*D57</f>
        <v/>
      </c>
      <c r="F57">
        <f>$B$3+($B$4-$B$3)*(MIN(E57,$B$15)/$B$7)^(1/$B$8)</f>
        <v/>
      </c>
    </row>
    <row r="58">
      <c r="A58" t="inlineStr">
        <is>
          <t>Min</t>
        </is>
      </c>
      <c r="B58" t="n">
        <v>100</v>
      </c>
      <c r="C58">
        <f>$B$12+B58</f>
        <v/>
      </c>
      <c r="D58">
        <f>$B$26</f>
        <v/>
      </c>
      <c r="E58">
        <f>$B$29+B58*D58</f>
        <v/>
      </c>
      <c r="F58">
        <f>$B$3+($B$4-$B$3)*(MIN(E58,$B$15)/$B$7)^(1/$B$8)</f>
        <v/>
      </c>
    </row>
    <row r="59">
      <c r="A59" t="inlineStr">
        <is>
          <t>Max</t>
        </is>
      </c>
      <c r="B59" t="n">
        <v>0</v>
      </c>
      <c r="C59">
        <f>$B$12+B59</f>
        <v/>
      </c>
      <c r="D59">
        <f>$B$27</f>
        <v/>
      </c>
      <c r="E59">
        <f>$B$29+B59*D59</f>
        <v/>
      </c>
      <c r="F59">
        <f>$B$3+($B$4-$B$3)*(MIN(E59,$B$15)/$B$7)^(1/$B$8)</f>
        <v/>
      </c>
    </row>
    <row r="60">
      <c r="A60" t="inlineStr">
        <is>
          <t>Max</t>
        </is>
      </c>
      <c r="B60" t="n">
        <v>1</v>
      </c>
      <c r="C60">
        <f>$B$12+B60</f>
        <v/>
      </c>
      <c r="D60">
        <f>$B$27</f>
        <v/>
      </c>
      <c r="E60">
        <f>$B$29+B60*D60</f>
        <v/>
      </c>
      <c r="F60">
        <f>$B$3+($B$4-$B$3)*(MIN(E60,$B$15)/$B$7)^(1/$B$8)</f>
        <v/>
      </c>
    </row>
    <row r="61">
      <c r="A61" t="inlineStr">
        <is>
          <t>Max</t>
        </is>
      </c>
      <c r="B61" t="n">
        <v>10</v>
      </c>
      <c r="C61">
        <f>$B$12+B61</f>
        <v/>
      </c>
      <c r="D61">
        <f>$B$27</f>
        <v/>
      </c>
      <c r="E61">
        <f>$B$29+B61*D61</f>
        <v/>
      </c>
      <c r="F61">
        <f>$B$3+($B$4-$B$3)*(MIN(E61,$B$15)/$B$7)^(1/$B$8)</f>
        <v/>
      </c>
    </row>
    <row r="62">
      <c r="A62" t="inlineStr">
        <is>
          <t>Max</t>
        </is>
      </c>
      <c r="B62" t="n">
        <v>50</v>
      </c>
      <c r="C62">
        <f>$B$12+B62</f>
        <v/>
      </c>
      <c r="D62">
        <f>$B$27</f>
        <v/>
      </c>
      <c r="E62">
        <f>$B$29+B62*D62</f>
        <v/>
      </c>
      <c r="F62">
        <f>$B$3+($B$4-$B$3)*(MIN(E62,$B$15)/$B$7)^(1/$B$8)</f>
        <v/>
      </c>
    </row>
    <row r="63">
      <c r="A63" t="inlineStr">
        <is>
          <t>Max</t>
        </is>
      </c>
      <c r="B63" t="n">
        <v>100</v>
      </c>
      <c r="C63">
        <f>$B$12+B63</f>
        <v/>
      </c>
      <c r="D63">
        <f>$B$27</f>
        <v/>
      </c>
      <c r="E63">
        <f>$B$29+B63*D63</f>
        <v/>
      </c>
      <c r="F63">
        <f>$B$3+($B$4-$B$3)*(MIN(E63,$B$15)/$B$7)^(1/$B$8)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34" customWidth="1" min="3" max="3"/>
    <col width="30" customWidth="1" min="4" max="4"/>
    <col width="28" customWidth="1" min="5" max="5"/>
    <col width="30" customWidth="1" min="6" max="6"/>
  </cols>
  <sheetData>
    <row r="1">
      <c r="A1" s="1" t="inlineStr">
        <is>
          <t>Case 3: Record years before commissioning are ignored</t>
        </is>
      </c>
    </row>
    <row r="3">
      <c r="A3" t="inlineStr">
        <is>
          <t>Hbed (m)</t>
        </is>
      </c>
      <c r="B3" t="n">
        <v>100</v>
      </c>
    </row>
    <row r="4">
      <c r="A4" t="inlineStr">
        <is>
          <t>Hmax (m)</t>
        </is>
      </c>
      <c r="B4" t="n">
        <v>150</v>
      </c>
    </row>
    <row r="5">
      <c r="A5" t="inlineStr">
        <is>
          <t>Hcrest (m)</t>
        </is>
      </c>
      <c r="B5" t="n">
        <v>155</v>
      </c>
    </row>
    <row r="6">
      <c r="A6" t="inlineStr">
        <is>
          <t>Vactive (hm3)</t>
        </is>
      </c>
      <c r="B6" t="n">
        <v>120</v>
      </c>
    </row>
    <row r="7">
      <c r="A7" t="inlineStr">
        <is>
          <t>Vmax (hm3)</t>
        </is>
      </c>
      <c r="B7" t="n">
        <v>200</v>
      </c>
    </row>
    <row r="8">
      <c r="A8" t="inlineStr">
        <is>
          <t>Exponent m</t>
        </is>
      </c>
      <c r="B8" t="n">
        <v>2</v>
      </c>
    </row>
    <row r="9">
      <c r="A9" t="inlineStr">
        <is>
          <t>Suspended Vs (m3/yr)</t>
        </is>
      </c>
      <c r="B9" t="n">
        <v>4000000</v>
      </c>
    </row>
    <row r="10">
      <c r="A10" t="inlineStr">
        <is>
          <t>Trap efficiency TE (%)</t>
        </is>
      </c>
      <c r="B10" t="n">
        <v>100</v>
      </c>
    </row>
    <row r="11">
      <c r="A11" t="inlineStr">
        <is>
          <t>Commissioning year c</t>
        </is>
      </c>
      <c r="B11" t="n">
        <v>2003</v>
      </c>
    </row>
    <row r="12">
      <c r="A12" t="inlineStr">
        <is>
          <t>Analysis year a</t>
        </is>
      </c>
      <c r="B12" t="n">
        <v>2006</v>
      </c>
    </row>
    <row r="14">
      <c r="A14" t="inlineStr">
        <is>
          <t>Vdead (hm3) = Vmax - Vactive</t>
        </is>
      </c>
      <c r="B14">
        <f>B7-B6</f>
        <v/>
      </c>
    </row>
    <row r="15">
      <c r="A15" t="inlineStr">
        <is>
          <t>V(Hcrest) (hm3) = Vmax ((Hcrest-Hbed)/(Hmax-Hbed))^m</t>
        </is>
      </c>
      <c r="B15">
        <f>B7*((B5-B3)/(B4-B3))^B8</f>
        <v/>
      </c>
    </row>
    <row r="16">
      <c r="A16" t="inlineStr">
        <is>
          <t>Hmin (m) = H(Vdead)</t>
        </is>
      </c>
      <c r="B16">
        <f>B3+(B4-B3)*(B14/B7)^(1/B8)</f>
        <v/>
      </c>
    </row>
    <row r="18">
      <c r="A18" s="1" t="inlineStr">
        <is>
          <t>Record year</t>
        </is>
      </c>
      <c r="B18" s="1" t="inlineStr">
        <is>
          <t>Bedload Vb (m3/yr)</t>
        </is>
      </c>
      <c r="C18" s="1" t="inlineStr">
        <is>
          <t>T (hm3) = TE/100 (Vs + Vb) / 1e6</t>
        </is>
      </c>
      <c r="D18" s="1" t="inlineStr">
        <is>
          <t>H(T) (m), limited to the crest</t>
        </is>
      </c>
    </row>
    <row r="19">
      <c r="A19" t="n">
        <v>2001</v>
      </c>
      <c r="B19" t="n">
        <v>1000000</v>
      </c>
      <c r="C19">
        <f>$B$10/100*($B$9+B19)/1000000</f>
        <v/>
      </c>
      <c r="D19">
        <f>$B$3+($B$4-$B$3)*(MIN(C19,$B$15)/$B$7)^(1/$B$8)</f>
        <v/>
      </c>
    </row>
    <row r="20">
      <c r="A20" t="n">
        <v>2002</v>
      </c>
      <c r="B20" t="n">
        <v>2500000</v>
      </c>
      <c r="C20">
        <f>$B$10/100*($B$9+B20)/1000000</f>
        <v/>
      </c>
      <c r="D20">
        <f>$B$3+($B$4-$B$3)*(MIN(C20,$B$15)/$B$7)^(1/$B$8)</f>
        <v/>
      </c>
    </row>
    <row r="21">
      <c r="A21" t="n">
        <v>2003</v>
      </c>
      <c r="B21" t="n">
        <v>500000</v>
      </c>
      <c r="C21">
        <f>$B$10/100*($B$9+B21)/1000000</f>
        <v/>
      </c>
      <c r="D21">
        <f>$B$3+($B$4-$B$3)*(MIN(C21,$B$15)/$B$7)^(1/$B$8)</f>
        <v/>
      </c>
    </row>
    <row r="22">
      <c r="A22" t="n">
        <v>2004</v>
      </c>
      <c r="B22" t="n">
        <v>2000000</v>
      </c>
      <c r="C22">
        <f>$B$10/100*($B$9+B22)/1000000</f>
        <v/>
      </c>
      <c r="D22">
        <f>$B$3+($B$4-$B$3)*(MIN(C22,$B$15)/$B$7)^(1/$B$8)</f>
        <v/>
      </c>
    </row>
    <row r="23">
      <c r="A23" t="n">
        <v>2005</v>
      </c>
      <c r="B23" t="n">
        <v>1500000</v>
      </c>
      <c r="C23">
        <f>$B$10/100*($B$9+B23)/1000000</f>
        <v/>
      </c>
      <c r="D23">
        <f>$B$3+($B$4-$B$3)*(MIN(C23,$B$15)/$B$7)^(1/$B$8)</f>
        <v/>
      </c>
    </row>
    <row r="25">
      <c r="A25" t="inlineStr">
        <is>
          <t>Rate, mean (hm3/yr)</t>
        </is>
      </c>
      <c r="B25">
        <f>AVERAGE(C19:C23)</f>
        <v/>
      </c>
    </row>
    <row r="26">
      <c r="A26" t="inlineStr">
        <is>
          <t>Rate, min year (hm3/yr)</t>
        </is>
      </c>
      <c r="B26">
        <f>MIN(C19:C23)</f>
        <v/>
      </c>
    </row>
    <row r="27">
      <c r="A27" t="inlineStr">
        <is>
          <t>Rate, max year (hm3/yr)</t>
        </is>
      </c>
      <c r="B27">
        <f>MAX(C19:C23)</f>
        <v/>
      </c>
    </row>
    <row r="29">
      <c r="A29" t="inlineStr">
        <is>
          <t>Accumulation to date S0 (hm3) = sum of T' for c &lt;= y &lt; a</t>
        </is>
      </c>
      <c r="B29">
        <f>SUM(C37:C39)</f>
        <v/>
      </c>
    </row>
    <row r="30">
      <c r="A30" t="inlineStr">
        <is>
          <t>H(S0) (m), limited to the crest</t>
        </is>
      </c>
      <c r="B30">
        <f>$B$3+($B$4-$B$3)*(MIN(B29,$B$15)/$B$7)^(1/$B$8)</f>
        <v/>
      </c>
    </row>
    <row r="31">
      <c r="A31" t="inlineStr">
        <is>
          <t>Year the dead volume was passed (if S0 &gt;= Vdead)</t>
        </is>
      </c>
      <c r="B31">
        <f>IF(B29&gt;=B14,MIN(E37:E39),"no")</f>
        <v/>
      </c>
    </row>
    <row r="32">
      <c r="A32" t="inlineStr">
        <is>
          <t>Lifespan at the mean rate: a + (Vdead - S0) / r</t>
        </is>
      </c>
      <c r="B32">
        <f>IF($B$29&gt;=$B$14,"exceeded",IF(B25=0,"not reached",$B$12+($B$14-$B$29)/B25))</f>
        <v/>
      </c>
    </row>
    <row r="33">
      <c r="A33" t="inlineStr">
        <is>
          <t>Lifespan at the min rate: a + (Vdead - S0) / r</t>
        </is>
      </c>
      <c r="B33">
        <f>IF($B$29&gt;=$B$14,"exceeded",IF(B26=0,"not reached",$B$12+($B$14-$B$29)/B26))</f>
        <v/>
      </c>
    </row>
    <row r="34">
      <c r="A34" t="inlineStr">
        <is>
          <t>Lifespan at the max rate: a + (Vdead - S0) / r</t>
        </is>
      </c>
      <c r="B34">
        <f>IF($B$29&gt;=$B$14,"exceeded",IF(B27=0,"not reached",$B$12+($B$14-$B$29)/B27))</f>
        <v/>
      </c>
    </row>
    <row r="36">
      <c r="A36" s="1" t="inlineStr">
        <is>
          <t>Year c to a-1</t>
        </is>
      </c>
      <c r="B36" s="1" t="inlineStr">
        <is>
          <t>In record (1/0)</t>
        </is>
      </c>
      <c r="C36" s="1" t="inlineStr">
        <is>
          <t>T' used (hm3)</t>
        </is>
      </c>
      <c r="D36" s="1" t="inlineStr">
        <is>
          <t>Cumulative (hm3)</t>
        </is>
      </c>
      <c r="E36" s="1" t="inlineStr">
        <is>
          <t>Year, or +10000 if below Vdead</t>
        </is>
      </c>
    </row>
    <row r="37">
      <c r="A37" t="n">
        <v>2003</v>
      </c>
      <c r="B37">
        <f>COUNTIF($A$19:$A$23,A37)</f>
        <v/>
      </c>
      <c r="C37">
        <f>SUMIF($A$19:$A$23,A37,$C$19:$C$23)+(1-B37)*$B$25</f>
        <v/>
      </c>
      <c r="D37">
        <f>C37</f>
        <v/>
      </c>
      <c r="E37">
        <f>A37+(1-(D37&gt;=$B$14))*10000</f>
        <v/>
      </c>
    </row>
    <row r="38">
      <c r="A38" t="n">
        <v>2004</v>
      </c>
      <c r="B38">
        <f>COUNTIF($A$19:$A$23,A38)</f>
        <v/>
      </c>
      <c r="C38">
        <f>SUMIF($A$19:$A$23,A38,$C$19:$C$23)+(1-B38)*$B$25</f>
        <v/>
      </c>
      <c r="D38">
        <f>D37+C38</f>
        <v/>
      </c>
      <c r="E38">
        <f>A38+(1-(D38&gt;=$B$14))*10000</f>
        <v/>
      </c>
    </row>
    <row r="39">
      <c r="A39" t="n">
        <v>2005</v>
      </c>
      <c r="B39">
        <f>COUNTIF($A$19:$A$23,A39)</f>
        <v/>
      </c>
      <c r="C39">
        <f>SUMIF($A$19:$A$23,A39,$C$19:$C$23)+(1-B39)*$B$25</f>
        <v/>
      </c>
      <c r="D39">
        <f>D38+C39</f>
        <v/>
      </c>
      <c r="E39">
        <f>A39+(1-(D39&gt;=$B$14))*10000</f>
        <v/>
      </c>
    </row>
    <row r="42">
      <c r="A42" s="1" t="inlineStr">
        <is>
          <t>Rate</t>
        </is>
      </c>
      <c r="B42" s="1" t="inlineStr">
        <is>
          <t>Years after a (k)</t>
        </is>
      </c>
      <c r="C42" s="1" t="inlineStr">
        <is>
          <t>Year a + k</t>
        </is>
      </c>
      <c r="D42" s="1" t="inlineStr">
        <is>
          <t>r (hm3/yr)</t>
        </is>
      </c>
      <c r="E42" s="1" t="inlineStr">
        <is>
          <t>S0 + k r (hm3)</t>
        </is>
      </c>
      <c r="F42" s="1" t="inlineStr">
        <is>
          <t>H(S) (m), limited to the crest</t>
        </is>
      </c>
    </row>
    <row r="43">
      <c r="A43" t="inlineStr">
        <is>
          <t>Mean</t>
        </is>
      </c>
      <c r="B43" t="n">
        <v>0</v>
      </c>
      <c r="C43">
        <f>$B$12+B43</f>
        <v/>
      </c>
      <c r="D43">
        <f>$B$25</f>
        <v/>
      </c>
      <c r="E43">
        <f>$B$29+B43*D43</f>
        <v/>
      </c>
      <c r="F43">
        <f>$B$3+($B$4-$B$3)*(MIN(E43,$B$15)/$B$7)^(1/$B$8)</f>
        <v/>
      </c>
    </row>
    <row r="44">
      <c r="A44" t="inlineStr">
        <is>
          <t>Mean</t>
        </is>
      </c>
      <c r="B44" t="n">
        <v>1</v>
      </c>
      <c r="C44">
        <f>$B$12+B44</f>
        <v/>
      </c>
      <c r="D44">
        <f>$B$25</f>
        <v/>
      </c>
      <c r="E44">
        <f>$B$29+B44*D44</f>
        <v/>
      </c>
      <c r="F44">
        <f>$B$3+($B$4-$B$3)*(MIN(E44,$B$15)/$B$7)^(1/$B$8)</f>
        <v/>
      </c>
    </row>
    <row r="45">
      <c r="A45" t="inlineStr">
        <is>
          <t>Mean</t>
        </is>
      </c>
      <c r="B45" t="n">
        <v>10</v>
      </c>
      <c r="C45">
        <f>$B$12+B45</f>
        <v/>
      </c>
      <c r="D45">
        <f>$B$25</f>
        <v/>
      </c>
      <c r="E45">
        <f>$B$29+B45*D45</f>
        <v/>
      </c>
      <c r="F45">
        <f>$B$3+($B$4-$B$3)*(MIN(E45,$B$15)/$B$7)^(1/$B$8)</f>
        <v/>
      </c>
    </row>
    <row r="46">
      <c r="A46" t="inlineStr">
        <is>
          <t>Mean</t>
        </is>
      </c>
      <c r="B46" t="n">
        <v>50</v>
      </c>
      <c r="C46">
        <f>$B$12+B46</f>
        <v/>
      </c>
      <c r="D46">
        <f>$B$25</f>
        <v/>
      </c>
      <c r="E46">
        <f>$B$29+B46*D46</f>
        <v/>
      </c>
      <c r="F46">
        <f>$B$3+($B$4-$B$3)*(MIN(E46,$B$15)/$B$7)^(1/$B$8)</f>
        <v/>
      </c>
    </row>
    <row r="47">
      <c r="A47" t="inlineStr">
        <is>
          <t>Mean</t>
        </is>
      </c>
      <c r="B47" t="n">
        <v>100</v>
      </c>
      <c r="C47">
        <f>$B$12+B47</f>
        <v/>
      </c>
      <c r="D47">
        <f>$B$25</f>
        <v/>
      </c>
      <c r="E47">
        <f>$B$29+B47*D47</f>
        <v/>
      </c>
      <c r="F47">
        <f>$B$3+($B$4-$B$3)*(MIN(E47,$B$15)/$B$7)^(1/$B$8)</f>
        <v/>
      </c>
    </row>
    <row r="48">
      <c r="A48" t="inlineStr">
        <is>
          <t>Min</t>
        </is>
      </c>
      <c r="B48" t="n">
        <v>0</v>
      </c>
      <c r="C48">
        <f>$B$12+B48</f>
        <v/>
      </c>
      <c r="D48">
        <f>$B$26</f>
        <v/>
      </c>
      <c r="E48">
        <f>$B$29+B48*D48</f>
        <v/>
      </c>
      <c r="F48">
        <f>$B$3+($B$4-$B$3)*(MIN(E48,$B$15)/$B$7)^(1/$B$8)</f>
        <v/>
      </c>
    </row>
    <row r="49">
      <c r="A49" t="inlineStr">
        <is>
          <t>Min</t>
        </is>
      </c>
      <c r="B49" t="n">
        <v>1</v>
      </c>
      <c r="C49">
        <f>$B$12+B49</f>
        <v/>
      </c>
      <c r="D49">
        <f>$B$26</f>
        <v/>
      </c>
      <c r="E49">
        <f>$B$29+B49*D49</f>
        <v/>
      </c>
      <c r="F49">
        <f>$B$3+($B$4-$B$3)*(MIN(E49,$B$15)/$B$7)^(1/$B$8)</f>
        <v/>
      </c>
    </row>
    <row r="50">
      <c r="A50" t="inlineStr">
        <is>
          <t>Min</t>
        </is>
      </c>
      <c r="B50" t="n">
        <v>10</v>
      </c>
      <c r="C50">
        <f>$B$12+B50</f>
        <v/>
      </c>
      <c r="D50">
        <f>$B$26</f>
        <v/>
      </c>
      <c r="E50">
        <f>$B$29+B50*D50</f>
        <v/>
      </c>
      <c r="F50">
        <f>$B$3+($B$4-$B$3)*(MIN(E50,$B$15)/$B$7)^(1/$B$8)</f>
        <v/>
      </c>
    </row>
    <row r="51">
      <c r="A51" t="inlineStr">
        <is>
          <t>Min</t>
        </is>
      </c>
      <c r="B51" t="n">
        <v>50</v>
      </c>
      <c r="C51">
        <f>$B$12+B51</f>
        <v/>
      </c>
      <c r="D51">
        <f>$B$26</f>
        <v/>
      </c>
      <c r="E51">
        <f>$B$29+B51*D51</f>
        <v/>
      </c>
      <c r="F51">
        <f>$B$3+($B$4-$B$3)*(MIN(E51,$B$15)/$B$7)^(1/$B$8)</f>
        <v/>
      </c>
    </row>
    <row r="52">
      <c r="A52" t="inlineStr">
        <is>
          <t>Min</t>
        </is>
      </c>
      <c r="B52" t="n">
        <v>100</v>
      </c>
      <c r="C52">
        <f>$B$12+B52</f>
        <v/>
      </c>
      <c r="D52">
        <f>$B$26</f>
        <v/>
      </c>
      <c r="E52">
        <f>$B$29+B52*D52</f>
        <v/>
      </c>
      <c r="F52">
        <f>$B$3+($B$4-$B$3)*(MIN(E52,$B$15)/$B$7)^(1/$B$8)</f>
        <v/>
      </c>
    </row>
    <row r="53">
      <c r="A53" t="inlineStr">
        <is>
          <t>Max</t>
        </is>
      </c>
      <c r="B53" t="n">
        <v>0</v>
      </c>
      <c r="C53">
        <f>$B$12+B53</f>
        <v/>
      </c>
      <c r="D53">
        <f>$B$27</f>
        <v/>
      </c>
      <c r="E53">
        <f>$B$29+B53*D53</f>
        <v/>
      </c>
      <c r="F53">
        <f>$B$3+($B$4-$B$3)*(MIN(E53,$B$15)/$B$7)^(1/$B$8)</f>
        <v/>
      </c>
    </row>
    <row r="54">
      <c r="A54" t="inlineStr">
        <is>
          <t>Max</t>
        </is>
      </c>
      <c r="B54" t="n">
        <v>1</v>
      </c>
      <c r="C54">
        <f>$B$12+B54</f>
        <v/>
      </c>
      <c r="D54">
        <f>$B$27</f>
        <v/>
      </c>
      <c r="E54">
        <f>$B$29+B54*D54</f>
        <v/>
      </c>
      <c r="F54">
        <f>$B$3+($B$4-$B$3)*(MIN(E54,$B$15)/$B$7)^(1/$B$8)</f>
        <v/>
      </c>
    </row>
    <row r="55">
      <c r="A55" t="inlineStr">
        <is>
          <t>Max</t>
        </is>
      </c>
      <c r="B55" t="n">
        <v>10</v>
      </c>
      <c r="C55">
        <f>$B$12+B55</f>
        <v/>
      </c>
      <c r="D55">
        <f>$B$27</f>
        <v/>
      </c>
      <c r="E55">
        <f>$B$29+B55*D55</f>
        <v/>
      </c>
      <c r="F55">
        <f>$B$3+($B$4-$B$3)*(MIN(E55,$B$15)/$B$7)^(1/$B$8)</f>
        <v/>
      </c>
    </row>
    <row r="56">
      <c r="A56" t="inlineStr">
        <is>
          <t>Max</t>
        </is>
      </c>
      <c r="B56" t="n">
        <v>50</v>
      </c>
      <c r="C56">
        <f>$B$12+B56</f>
        <v/>
      </c>
      <c r="D56">
        <f>$B$27</f>
        <v/>
      </c>
      <c r="E56">
        <f>$B$29+B56*D56</f>
        <v/>
      </c>
      <c r="F56">
        <f>$B$3+($B$4-$B$3)*(MIN(E56,$B$15)/$B$7)^(1/$B$8)</f>
        <v/>
      </c>
    </row>
    <row r="57">
      <c r="A57" t="inlineStr">
        <is>
          <t>Max</t>
        </is>
      </c>
      <c r="B57" t="n">
        <v>100</v>
      </c>
      <c r="C57">
        <f>$B$12+B57</f>
        <v/>
      </c>
      <c r="D57">
        <f>$B$27</f>
        <v/>
      </c>
      <c r="E57">
        <f>$B$29+B57*D57</f>
        <v/>
      </c>
      <c r="F57">
        <f>$B$3+($B$4-$B$3)*(MIN(E57,$B$15)/$B$7)^(1/$B$8)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34" customWidth="1" min="3" max="3"/>
    <col width="30" customWidth="1" min="4" max="4"/>
    <col width="28" customWidth="1" min="5" max="5"/>
    <col width="30" customWidth="1" min="6" max="6"/>
  </cols>
  <sheetData>
    <row r="1">
      <c r="A1" s="1" t="inlineStr">
        <is>
          <t>Case 4: Analysis year equals commissioning year</t>
        </is>
      </c>
    </row>
    <row r="3">
      <c r="A3" t="inlineStr">
        <is>
          <t>Hbed (m)</t>
        </is>
      </c>
      <c r="B3" t="n">
        <v>100</v>
      </c>
    </row>
    <row r="4">
      <c r="A4" t="inlineStr">
        <is>
          <t>Hmax (m)</t>
        </is>
      </c>
      <c r="B4" t="n">
        <v>150</v>
      </c>
    </row>
    <row r="5">
      <c r="A5" t="inlineStr">
        <is>
          <t>Hcrest (m)</t>
        </is>
      </c>
      <c r="B5" t="n">
        <v>155</v>
      </c>
    </row>
    <row r="6">
      <c r="A6" t="inlineStr">
        <is>
          <t>Vactive (hm3)</t>
        </is>
      </c>
      <c r="B6" t="n">
        <v>120</v>
      </c>
    </row>
    <row r="7">
      <c r="A7" t="inlineStr">
        <is>
          <t>Vmax (hm3)</t>
        </is>
      </c>
      <c r="B7" t="n">
        <v>200</v>
      </c>
    </row>
    <row r="8">
      <c r="A8" t="inlineStr">
        <is>
          <t>Exponent m</t>
        </is>
      </c>
      <c r="B8" t="n">
        <v>2</v>
      </c>
    </row>
    <row r="9">
      <c r="A9" t="inlineStr">
        <is>
          <t>Suspended Vs (m3/yr)</t>
        </is>
      </c>
      <c r="B9" t="n">
        <v>4000000</v>
      </c>
    </row>
    <row r="10">
      <c r="A10" t="inlineStr">
        <is>
          <t>Trap efficiency TE (%)</t>
        </is>
      </c>
      <c r="B10" t="n">
        <v>100</v>
      </c>
    </row>
    <row r="11">
      <c r="A11" t="inlineStr">
        <is>
          <t>Commissioning year c</t>
        </is>
      </c>
      <c r="B11" t="n">
        <v>2006</v>
      </c>
    </row>
    <row r="12">
      <c r="A12" t="inlineStr">
        <is>
          <t>Analysis year a</t>
        </is>
      </c>
      <c r="B12" t="n">
        <v>2006</v>
      </c>
    </row>
    <row r="14">
      <c r="A14" t="inlineStr">
        <is>
          <t>Vdead (hm3) = Vmax - Vactive</t>
        </is>
      </c>
      <c r="B14">
        <f>B7-B6</f>
        <v/>
      </c>
    </row>
    <row r="15">
      <c r="A15" t="inlineStr">
        <is>
          <t>V(Hcrest) (hm3) = Vmax ((Hcrest-Hbed)/(Hmax-Hbed))^m</t>
        </is>
      </c>
      <c r="B15">
        <f>B7*((B5-B3)/(B4-B3))^B8</f>
        <v/>
      </c>
    </row>
    <row r="16">
      <c r="A16" t="inlineStr">
        <is>
          <t>Hmin (m) = H(Vdead)</t>
        </is>
      </c>
      <c r="B16">
        <f>B3+(B4-B3)*(B14/B7)^(1/B8)</f>
        <v/>
      </c>
    </row>
    <row r="18">
      <c r="A18" s="1" t="inlineStr">
        <is>
          <t>Record year</t>
        </is>
      </c>
      <c r="B18" s="1" t="inlineStr">
        <is>
          <t>Bedload Vb (m3/yr)</t>
        </is>
      </c>
      <c r="C18" s="1" t="inlineStr">
        <is>
          <t>T (hm3) = TE/100 (Vs + Vb) / 1e6</t>
        </is>
      </c>
      <c r="D18" s="1" t="inlineStr">
        <is>
          <t>H(T) (m), limited to the crest</t>
        </is>
      </c>
    </row>
    <row r="19">
      <c r="A19" t="n">
        <v>2001</v>
      </c>
      <c r="B19" t="n">
        <v>1000000</v>
      </c>
      <c r="C19">
        <f>$B$10/100*($B$9+B19)/1000000</f>
        <v/>
      </c>
      <c r="D19">
        <f>$B$3+($B$4-$B$3)*(MIN(C19,$B$15)/$B$7)^(1/$B$8)</f>
        <v/>
      </c>
    </row>
    <row r="20">
      <c r="A20" t="n">
        <v>2002</v>
      </c>
      <c r="B20" t="n">
        <v>2500000</v>
      </c>
      <c r="C20">
        <f>$B$10/100*($B$9+B20)/1000000</f>
        <v/>
      </c>
      <c r="D20">
        <f>$B$3+($B$4-$B$3)*(MIN(C20,$B$15)/$B$7)^(1/$B$8)</f>
        <v/>
      </c>
    </row>
    <row r="21">
      <c r="A21" t="n">
        <v>2003</v>
      </c>
      <c r="B21" t="n">
        <v>500000</v>
      </c>
      <c r="C21">
        <f>$B$10/100*($B$9+B21)/1000000</f>
        <v/>
      </c>
      <c r="D21">
        <f>$B$3+($B$4-$B$3)*(MIN(C21,$B$15)/$B$7)^(1/$B$8)</f>
        <v/>
      </c>
    </row>
    <row r="22">
      <c r="A22" t="n">
        <v>2004</v>
      </c>
      <c r="B22" t="n">
        <v>2000000</v>
      </c>
      <c r="C22">
        <f>$B$10/100*($B$9+B22)/1000000</f>
        <v/>
      </c>
      <c r="D22">
        <f>$B$3+($B$4-$B$3)*(MIN(C22,$B$15)/$B$7)^(1/$B$8)</f>
        <v/>
      </c>
    </row>
    <row r="23">
      <c r="A23" t="n">
        <v>2005</v>
      </c>
      <c r="B23" t="n">
        <v>1500000</v>
      </c>
      <c r="C23">
        <f>$B$10/100*($B$9+B23)/1000000</f>
        <v/>
      </c>
      <c r="D23">
        <f>$B$3+($B$4-$B$3)*(MIN(C23,$B$15)/$B$7)^(1/$B$8)</f>
        <v/>
      </c>
    </row>
    <row r="25">
      <c r="A25" t="inlineStr">
        <is>
          <t>Rate, mean (hm3/yr)</t>
        </is>
      </c>
      <c r="B25">
        <f>AVERAGE(C19:C23)</f>
        <v/>
      </c>
    </row>
    <row r="26">
      <c r="A26" t="inlineStr">
        <is>
          <t>Rate, min year (hm3/yr)</t>
        </is>
      </c>
      <c r="B26">
        <f>MIN(C19:C23)</f>
        <v/>
      </c>
    </row>
    <row r="27">
      <c r="A27" t="inlineStr">
        <is>
          <t>Rate, max year (hm3/yr)</t>
        </is>
      </c>
      <c r="B27">
        <f>MAX(C19:C23)</f>
        <v/>
      </c>
    </row>
    <row r="29">
      <c r="A29" t="inlineStr">
        <is>
          <t>Accumulation to date S0 (hm3) = sum of T' for c &lt;= y &lt; a</t>
        </is>
      </c>
      <c r="B29" t="n">
        <v>0</v>
      </c>
    </row>
    <row r="30">
      <c r="A30" t="inlineStr">
        <is>
          <t>H(S0) (m), limited to the crest</t>
        </is>
      </c>
      <c r="B30">
        <f>$B$3+($B$4-$B$3)*(MIN(B29,$B$15)/$B$7)^(1/$B$8)</f>
        <v/>
      </c>
    </row>
    <row r="31">
      <c r="A31" t="inlineStr">
        <is>
          <t>Year the dead volume was passed (if S0 &gt;= Vdead)</t>
        </is>
      </c>
      <c r="B31" t="inlineStr">
        <is>
          <t>no</t>
        </is>
      </c>
    </row>
    <row r="32">
      <c r="A32" t="inlineStr">
        <is>
          <t>Lifespan at the mean rate: a + (Vdead - S0) / r</t>
        </is>
      </c>
      <c r="B32">
        <f>IF($B$29&gt;=$B$14,"exceeded",IF(B25=0,"not reached",$B$12+($B$14-$B$29)/B25))</f>
        <v/>
      </c>
    </row>
    <row r="33">
      <c r="A33" t="inlineStr">
        <is>
          <t>Lifespan at the min rate: a + (Vdead - S0) / r</t>
        </is>
      </c>
      <c r="B33">
        <f>IF($B$29&gt;=$B$14,"exceeded",IF(B26=0,"not reached",$B$12+($B$14-$B$29)/B26))</f>
        <v/>
      </c>
    </row>
    <row r="34">
      <c r="A34" t="inlineStr">
        <is>
          <t>Lifespan at the max rate: a + (Vdead - S0) / r</t>
        </is>
      </c>
      <c r="B34">
        <f>IF($B$29&gt;=$B$14,"exceeded",IF(B27=0,"not reached",$B$12+($B$14-$B$29)/B27))</f>
        <v/>
      </c>
    </row>
    <row r="36">
      <c r="A36" s="1" t="inlineStr">
        <is>
          <t>Year c to a-1</t>
        </is>
      </c>
      <c r="B36" s="1" t="inlineStr">
        <is>
          <t>In record (1/0)</t>
        </is>
      </c>
      <c r="C36" s="1" t="inlineStr">
        <is>
          <t>T' used (hm3)</t>
        </is>
      </c>
      <c r="D36" s="1" t="inlineStr">
        <is>
          <t>Cumulative (hm3)</t>
        </is>
      </c>
      <c r="E36" s="1" t="inlineStr">
        <is>
          <t>Year, or +10000 if below Vdead</t>
        </is>
      </c>
    </row>
    <row r="39">
      <c r="A39" s="1" t="inlineStr">
        <is>
          <t>Rate</t>
        </is>
      </c>
      <c r="B39" s="1" t="inlineStr">
        <is>
          <t>Years after a (k)</t>
        </is>
      </c>
      <c r="C39" s="1" t="inlineStr">
        <is>
          <t>Year a + k</t>
        </is>
      </c>
      <c r="D39" s="1" t="inlineStr">
        <is>
          <t>r (hm3/yr)</t>
        </is>
      </c>
      <c r="E39" s="1" t="inlineStr">
        <is>
          <t>S0 + k r (hm3)</t>
        </is>
      </c>
      <c r="F39" s="1" t="inlineStr">
        <is>
          <t>H(S) (m), limited to the crest</t>
        </is>
      </c>
    </row>
    <row r="40">
      <c r="A40" t="inlineStr">
        <is>
          <t>Mean</t>
        </is>
      </c>
      <c r="B40" t="n">
        <v>0</v>
      </c>
      <c r="C40">
        <f>$B$12+B40</f>
        <v/>
      </c>
      <c r="D40">
        <f>$B$25</f>
        <v/>
      </c>
      <c r="E40">
        <f>$B$29+B40*D40</f>
        <v/>
      </c>
      <c r="F40">
        <f>$B$3+($B$4-$B$3)*(MIN(E40,$B$15)/$B$7)^(1/$B$8)</f>
        <v/>
      </c>
    </row>
    <row r="41">
      <c r="A41" t="inlineStr">
        <is>
          <t>Mean</t>
        </is>
      </c>
      <c r="B41" t="n">
        <v>1</v>
      </c>
      <c r="C41">
        <f>$B$12+B41</f>
        <v/>
      </c>
      <c r="D41">
        <f>$B$25</f>
        <v/>
      </c>
      <c r="E41">
        <f>$B$29+B41*D41</f>
        <v/>
      </c>
      <c r="F41">
        <f>$B$3+($B$4-$B$3)*(MIN(E41,$B$15)/$B$7)^(1/$B$8)</f>
        <v/>
      </c>
    </row>
    <row r="42">
      <c r="A42" t="inlineStr">
        <is>
          <t>Mean</t>
        </is>
      </c>
      <c r="B42" t="n">
        <v>10</v>
      </c>
      <c r="C42">
        <f>$B$12+B42</f>
        <v/>
      </c>
      <c r="D42">
        <f>$B$25</f>
        <v/>
      </c>
      <c r="E42">
        <f>$B$29+B42*D42</f>
        <v/>
      </c>
      <c r="F42">
        <f>$B$3+($B$4-$B$3)*(MIN(E42,$B$15)/$B$7)^(1/$B$8)</f>
        <v/>
      </c>
    </row>
    <row r="43">
      <c r="A43" t="inlineStr">
        <is>
          <t>Mean</t>
        </is>
      </c>
      <c r="B43" t="n">
        <v>50</v>
      </c>
      <c r="C43">
        <f>$B$12+B43</f>
        <v/>
      </c>
      <c r="D43">
        <f>$B$25</f>
        <v/>
      </c>
      <c r="E43">
        <f>$B$29+B43*D43</f>
        <v/>
      </c>
      <c r="F43">
        <f>$B$3+($B$4-$B$3)*(MIN(E43,$B$15)/$B$7)^(1/$B$8)</f>
        <v/>
      </c>
    </row>
    <row r="44">
      <c r="A44" t="inlineStr">
        <is>
          <t>Mean</t>
        </is>
      </c>
      <c r="B44" t="n">
        <v>100</v>
      </c>
      <c r="C44">
        <f>$B$12+B44</f>
        <v/>
      </c>
      <c r="D44">
        <f>$B$25</f>
        <v/>
      </c>
      <c r="E44">
        <f>$B$29+B44*D44</f>
        <v/>
      </c>
      <c r="F44">
        <f>$B$3+($B$4-$B$3)*(MIN(E44,$B$15)/$B$7)^(1/$B$8)</f>
        <v/>
      </c>
    </row>
    <row r="45">
      <c r="A45" t="inlineStr">
        <is>
          <t>Min</t>
        </is>
      </c>
      <c r="B45" t="n">
        <v>0</v>
      </c>
      <c r="C45">
        <f>$B$12+B45</f>
        <v/>
      </c>
      <c r="D45">
        <f>$B$26</f>
        <v/>
      </c>
      <c r="E45">
        <f>$B$29+B45*D45</f>
        <v/>
      </c>
      <c r="F45">
        <f>$B$3+($B$4-$B$3)*(MIN(E45,$B$15)/$B$7)^(1/$B$8)</f>
        <v/>
      </c>
    </row>
    <row r="46">
      <c r="A46" t="inlineStr">
        <is>
          <t>Min</t>
        </is>
      </c>
      <c r="B46" t="n">
        <v>1</v>
      </c>
      <c r="C46">
        <f>$B$12+B46</f>
        <v/>
      </c>
      <c r="D46">
        <f>$B$26</f>
        <v/>
      </c>
      <c r="E46">
        <f>$B$29+B46*D46</f>
        <v/>
      </c>
      <c r="F46">
        <f>$B$3+($B$4-$B$3)*(MIN(E46,$B$15)/$B$7)^(1/$B$8)</f>
        <v/>
      </c>
    </row>
    <row r="47">
      <c r="A47" t="inlineStr">
        <is>
          <t>Min</t>
        </is>
      </c>
      <c r="B47" t="n">
        <v>10</v>
      </c>
      <c r="C47">
        <f>$B$12+B47</f>
        <v/>
      </c>
      <c r="D47">
        <f>$B$26</f>
        <v/>
      </c>
      <c r="E47">
        <f>$B$29+B47*D47</f>
        <v/>
      </c>
      <c r="F47">
        <f>$B$3+($B$4-$B$3)*(MIN(E47,$B$15)/$B$7)^(1/$B$8)</f>
        <v/>
      </c>
    </row>
    <row r="48">
      <c r="A48" t="inlineStr">
        <is>
          <t>Min</t>
        </is>
      </c>
      <c r="B48" t="n">
        <v>50</v>
      </c>
      <c r="C48">
        <f>$B$12+B48</f>
        <v/>
      </c>
      <c r="D48">
        <f>$B$26</f>
        <v/>
      </c>
      <c r="E48">
        <f>$B$29+B48*D48</f>
        <v/>
      </c>
      <c r="F48">
        <f>$B$3+($B$4-$B$3)*(MIN(E48,$B$15)/$B$7)^(1/$B$8)</f>
        <v/>
      </c>
    </row>
    <row r="49">
      <c r="A49" t="inlineStr">
        <is>
          <t>Min</t>
        </is>
      </c>
      <c r="B49" t="n">
        <v>100</v>
      </c>
      <c r="C49">
        <f>$B$12+B49</f>
        <v/>
      </c>
      <c r="D49">
        <f>$B$26</f>
        <v/>
      </c>
      <c r="E49">
        <f>$B$29+B49*D49</f>
        <v/>
      </c>
      <c r="F49">
        <f>$B$3+($B$4-$B$3)*(MIN(E49,$B$15)/$B$7)^(1/$B$8)</f>
        <v/>
      </c>
    </row>
    <row r="50">
      <c r="A50" t="inlineStr">
        <is>
          <t>Max</t>
        </is>
      </c>
      <c r="B50" t="n">
        <v>0</v>
      </c>
      <c r="C50">
        <f>$B$12+B50</f>
        <v/>
      </c>
      <c r="D50">
        <f>$B$27</f>
        <v/>
      </c>
      <c r="E50">
        <f>$B$29+B50*D50</f>
        <v/>
      </c>
      <c r="F50">
        <f>$B$3+($B$4-$B$3)*(MIN(E50,$B$15)/$B$7)^(1/$B$8)</f>
        <v/>
      </c>
    </row>
    <row r="51">
      <c r="A51" t="inlineStr">
        <is>
          <t>Max</t>
        </is>
      </c>
      <c r="B51" t="n">
        <v>1</v>
      </c>
      <c r="C51">
        <f>$B$12+B51</f>
        <v/>
      </c>
      <c r="D51">
        <f>$B$27</f>
        <v/>
      </c>
      <c r="E51">
        <f>$B$29+B51*D51</f>
        <v/>
      </c>
      <c r="F51">
        <f>$B$3+($B$4-$B$3)*(MIN(E51,$B$15)/$B$7)^(1/$B$8)</f>
        <v/>
      </c>
    </row>
    <row r="52">
      <c r="A52" t="inlineStr">
        <is>
          <t>Max</t>
        </is>
      </c>
      <c r="B52" t="n">
        <v>10</v>
      </c>
      <c r="C52">
        <f>$B$12+B52</f>
        <v/>
      </c>
      <c r="D52">
        <f>$B$27</f>
        <v/>
      </c>
      <c r="E52">
        <f>$B$29+B52*D52</f>
        <v/>
      </c>
      <c r="F52">
        <f>$B$3+($B$4-$B$3)*(MIN(E52,$B$15)/$B$7)^(1/$B$8)</f>
        <v/>
      </c>
    </row>
    <row r="53">
      <c r="A53" t="inlineStr">
        <is>
          <t>Max</t>
        </is>
      </c>
      <c r="B53" t="n">
        <v>50</v>
      </c>
      <c r="C53">
        <f>$B$12+B53</f>
        <v/>
      </c>
      <c r="D53">
        <f>$B$27</f>
        <v/>
      </c>
      <c r="E53">
        <f>$B$29+B53*D53</f>
        <v/>
      </c>
      <c r="F53">
        <f>$B$3+($B$4-$B$3)*(MIN(E53,$B$15)/$B$7)^(1/$B$8)</f>
        <v/>
      </c>
    </row>
    <row r="54">
      <c r="A54" t="inlineStr">
        <is>
          <t>Max</t>
        </is>
      </c>
      <c r="B54" t="n">
        <v>100</v>
      </c>
      <c r="C54">
        <f>$B$12+B54</f>
        <v/>
      </c>
      <c r="D54">
        <f>$B$27</f>
        <v/>
      </c>
      <c r="E54">
        <f>$B$29+B54*D54</f>
        <v/>
      </c>
      <c r="F54">
        <f>$B$3+($B$4-$B$3)*(MIN(E54,$B$15)/$B$7)^(1/$B$8)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34" customWidth="1" min="3" max="3"/>
    <col width="30" customWidth="1" min="4" max="4"/>
    <col width="28" customWidth="1" min="5" max="5"/>
    <col width="30" customWidth="1" min="6" max="6"/>
  </cols>
  <sheetData>
    <row r="1">
      <c r="A1" s="1" t="inlineStr">
        <is>
          <t>Case 5: Dead volume already exceeded</t>
        </is>
      </c>
    </row>
    <row r="3">
      <c r="A3" t="inlineStr">
        <is>
          <t>Hbed (m)</t>
        </is>
      </c>
      <c r="B3" t="n">
        <v>100</v>
      </c>
    </row>
    <row r="4">
      <c r="A4" t="inlineStr">
        <is>
          <t>Hmax (m)</t>
        </is>
      </c>
      <c r="B4" t="n">
        <v>150</v>
      </c>
    </row>
    <row r="5">
      <c r="A5" t="inlineStr">
        <is>
          <t>Hcrest (m)</t>
        </is>
      </c>
      <c r="B5" t="n">
        <v>155</v>
      </c>
    </row>
    <row r="6">
      <c r="A6" t="inlineStr">
        <is>
          <t>Vactive (hm3)</t>
        </is>
      </c>
      <c r="B6" t="n">
        <v>120</v>
      </c>
    </row>
    <row r="7">
      <c r="A7" t="inlineStr">
        <is>
          <t>Vmax (hm3)</t>
        </is>
      </c>
      <c r="B7" t="n">
        <v>200</v>
      </c>
    </row>
    <row r="8">
      <c r="A8" t="inlineStr">
        <is>
          <t>Exponent m</t>
        </is>
      </c>
      <c r="B8" t="n">
        <v>2</v>
      </c>
    </row>
    <row r="9">
      <c r="A9" t="inlineStr">
        <is>
          <t>Suspended Vs (m3/yr)</t>
        </is>
      </c>
      <c r="B9" t="n">
        <v>4000000</v>
      </c>
    </row>
    <row r="10">
      <c r="A10" t="inlineStr">
        <is>
          <t>Trap efficiency TE (%)</t>
        </is>
      </c>
      <c r="B10" t="n">
        <v>100</v>
      </c>
    </row>
    <row r="11">
      <c r="A11" t="inlineStr">
        <is>
          <t>Commissioning year c</t>
        </is>
      </c>
      <c r="B11" t="n">
        <v>1990</v>
      </c>
    </row>
    <row r="12">
      <c r="A12" t="inlineStr">
        <is>
          <t>Analysis year a</t>
        </is>
      </c>
      <c r="B12" t="n">
        <v>2006</v>
      </c>
    </row>
    <row r="14">
      <c r="A14" t="inlineStr">
        <is>
          <t>Vdead (hm3) = Vmax - Vactive</t>
        </is>
      </c>
      <c r="B14">
        <f>B7-B6</f>
        <v/>
      </c>
    </row>
    <row r="15">
      <c r="A15" t="inlineStr">
        <is>
          <t>V(Hcrest) (hm3) = Vmax ((Hcrest-Hbed)/(Hmax-Hbed))^m</t>
        </is>
      </c>
      <c r="B15">
        <f>B7*((B5-B3)/(B4-B3))^B8</f>
        <v/>
      </c>
    </row>
    <row r="16">
      <c r="A16" t="inlineStr">
        <is>
          <t>Hmin (m) = H(Vdead)</t>
        </is>
      </c>
      <c r="B16">
        <f>B3+(B4-B3)*(B14/B7)^(1/B8)</f>
        <v/>
      </c>
    </row>
    <row r="18">
      <c r="A18" s="1" t="inlineStr">
        <is>
          <t>Record year</t>
        </is>
      </c>
      <c r="B18" s="1" t="inlineStr">
        <is>
          <t>Bedload Vb (m3/yr)</t>
        </is>
      </c>
      <c r="C18" s="1" t="inlineStr">
        <is>
          <t>T (hm3) = TE/100 (Vs + Vb) / 1e6</t>
        </is>
      </c>
      <c r="D18" s="1" t="inlineStr">
        <is>
          <t>H(T) (m), limited to the crest</t>
        </is>
      </c>
    </row>
    <row r="19">
      <c r="A19" t="n">
        <v>2001</v>
      </c>
      <c r="B19" t="n">
        <v>1000000</v>
      </c>
      <c r="C19">
        <f>$B$10/100*($B$9+B19)/1000000</f>
        <v/>
      </c>
      <c r="D19">
        <f>$B$3+($B$4-$B$3)*(MIN(C19,$B$15)/$B$7)^(1/$B$8)</f>
        <v/>
      </c>
    </row>
    <row r="20">
      <c r="A20" t="n">
        <v>2002</v>
      </c>
      <c r="B20" t="n">
        <v>2500000</v>
      </c>
      <c r="C20">
        <f>$B$10/100*($B$9+B20)/1000000</f>
        <v/>
      </c>
      <c r="D20">
        <f>$B$3+($B$4-$B$3)*(MIN(C20,$B$15)/$B$7)^(1/$B$8)</f>
        <v/>
      </c>
    </row>
    <row r="21">
      <c r="A21" t="n">
        <v>2003</v>
      </c>
      <c r="B21" t="n">
        <v>500000</v>
      </c>
      <c r="C21">
        <f>$B$10/100*($B$9+B21)/1000000</f>
        <v/>
      </c>
      <c r="D21">
        <f>$B$3+($B$4-$B$3)*(MIN(C21,$B$15)/$B$7)^(1/$B$8)</f>
        <v/>
      </c>
    </row>
    <row r="22">
      <c r="A22" t="n">
        <v>2004</v>
      </c>
      <c r="B22" t="n">
        <v>2000000</v>
      </c>
      <c r="C22">
        <f>$B$10/100*($B$9+B22)/1000000</f>
        <v/>
      </c>
      <c r="D22">
        <f>$B$3+($B$4-$B$3)*(MIN(C22,$B$15)/$B$7)^(1/$B$8)</f>
        <v/>
      </c>
    </row>
    <row r="23">
      <c r="A23" t="n">
        <v>2005</v>
      </c>
      <c r="B23" t="n">
        <v>1500000</v>
      </c>
      <c r="C23">
        <f>$B$10/100*($B$9+B23)/1000000</f>
        <v/>
      </c>
      <c r="D23">
        <f>$B$3+($B$4-$B$3)*(MIN(C23,$B$15)/$B$7)^(1/$B$8)</f>
        <v/>
      </c>
    </row>
    <row r="25">
      <c r="A25" t="inlineStr">
        <is>
          <t>Rate, mean (hm3/yr)</t>
        </is>
      </c>
      <c r="B25">
        <f>AVERAGE(C19:C23)</f>
        <v/>
      </c>
    </row>
    <row r="26">
      <c r="A26" t="inlineStr">
        <is>
          <t>Rate, min year (hm3/yr)</t>
        </is>
      </c>
      <c r="B26">
        <f>MIN(C19:C23)</f>
        <v/>
      </c>
    </row>
    <row r="27">
      <c r="A27" t="inlineStr">
        <is>
          <t>Rate, max year (hm3/yr)</t>
        </is>
      </c>
      <c r="B27">
        <f>MAX(C19:C23)</f>
        <v/>
      </c>
    </row>
    <row r="29">
      <c r="A29" t="inlineStr">
        <is>
          <t>Accumulation to date S0 (hm3) = sum of T' for c &lt;= y &lt; a</t>
        </is>
      </c>
      <c r="B29">
        <f>SUM(C37:C52)</f>
        <v/>
      </c>
    </row>
    <row r="30">
      <c r="A30" t="inlineStr">
        <is>
          <t>H(S0) (m), limited to the crest</t>
        </is>
      </c>
      <c r="B30">
        <f>$B$3+($B$4-$B$3)*(MIN(B29,$B$15)/$B$7)^(1/$B$8)</f>
        <v/>
      </c>
    </row>
    <row r="31">
      <c r="A31" t="inlineStr">
        <is>
          <t>Year the dead volume was passed (if S0 &gt;= Vdead)</t>
        </is>
      </c>
      <c r="B31">
        <f>IF(B29&gt;=B14,MIN(E37:E52),"no")</f>
        <v/>
      </c>
    </row>
    <row r="32">
      <c r="A32" t="inlineStr">
        <is>
          <t>Lifespan at the mean rate: a + (Vdead - S0) / r</t>
        </is>
      </c>
      <c r="B32">
        <f>IF($B$29&gt;=$B$14,"exceeded",IF(B25=0,"not reached",$B$12+($B$14-$B$29)/B25))</f>
        <v/>
      </c>
    </row>
    <row r="33">
      <c r="A33" t="inlineStr">
        <is>
          <t>Lifespan at the min rate: a + (Vdead - S0) / r</t>
        </is>
      </c>
      <c r="B33">
        <f>IF($B$29&gt;=$B$14,"exceeded",IF(B26=0,"not reached",$B$12+($B$14-$B$29)/B26))</f>
        <v/>
      </c>
    </row>
    <row r="34">
      <c r="A34" t="inlineStr">
        <is>
          <t>Lifespan at the max rate: a + (Vdead - S0) / r</t>
        </is>
      </c>
      <c r="B34">
        <f>IF($B$29&gt;=$B$14,"exceeded",IF(B27=0,"not reached",$B$12+($B$14-$B$29)/B27))</f>
        <v/>
      </c>
    </row>
    <row r="36">
      <c r="A36" s="1" t="inlineStr">
        <is>
          <t>Year c to a-1</t>
        </is>
      </c>
      <c r="B36" s="1" t="inlineStr">
        <is>
          <t>In record (1/0)</t>
        </is>
      </c>
      <c r="C36" s="1" t="inlineStr">
        <is>
          <t>T' used (hm3)</t>
        </is>
      </c>
      <c r="D36" s="1" t="inlineStr">
        <is>
          <t>Cumulative (hm3)</t>
        </is>
      </c>
      <c r="E36" s="1" t="inlineStr">
        <is>
          <t>Year, or +10000 if below Vdead</t>
        </is>
      </c>
    </row>
    <row r="37">
      <c r="A37" t="n">
        <v>1990</v>
      </c>
      <c r="B37">
        <f>COUNTIF($A$19:$A$23,A37)</f>
        <v/>
      </c>
      <c r="C37">
        <f>SUMIF($A$19:$A$23,A37,$C$19:$C$23)+(1-B37)*$B$25</f>
        <v/>
      </c>
      <c r="D37">
        <f>C37</f>
        <v/>
      </c>
      <c r="E37">
        <f>A37+(1-(D37&gt;=$B$14))*10000</f>
        <v/>
      </c>
    </row>
    <row r="38">
      <c r="A38" t="n">
        <v>1991</v>
      </c>
      <c r="B38">
        <f>COUNTIF($A$19:$A$23,A38)</f>
        <v/>
      </c>
      <c r="C38">
        <f>SUMIF($A$19:$A$23,A38,$C$19:$C$23)+(1-B38)*$B$25</f>
        <v/>
      </c>
      <c r="D38">
        <f>D37+C38</f>
        <v/>
      </c>
      <c r="E38">
        <f>A38+(1-(D38&gt;=$B$14))*10000</f>
        <v/>
      </c>
    </row>
    <row r="39">
      <c r="A39" t="n">
        <v>1992</v>
      </c>
      <c r="B39">
        <f>COUNTIF($A$19:$A$23,A39)</f>
        <v/>
      </c>
      <c r="C39">
        <f>SUMIF($A$19:$A$23,A39,$C$19:$C$23)+(1-B39)*$B$25</f>
        <v/>
      </c>
      <c r="D39">
        <f>D38+C39</f>
        <v/>
      </c>
      <c r="E39">
        <f>A39+(1-(D39&gt;=$B$14))*10000</f>
        <v/>
      </c>
    </row>
    <row r="40">
      <c r="A40" t="n">
        <v>1993</v>
      </c>
      <c r="B40">
        <f>COUNTIF($A$19:$A$23,A40)</f>
        <v/>
      </c>
      <c r="C40">
        <f>SUMIF($A$19:$A$23,A40,$C$19:$C$23)+(1-B40)*$B$25</f>
        <v/>
      </c>
      <c r="D40">
        <f>D39+C40</f>
        <v/>
      </c>
      <c r="E40">
        <f>A40+(1-(D40&gt;=$B$14))*10000</f>
        <v/>
      </c>
    </row>
    <row r="41">
      <c r="A41" t="n">
        <v>1994</v>
      </c>
      <c r="B41">
        <f>COUNTIF($A$19:$A$23,A41)</f>
        <v/>
      </c>
      <c r="C41">
        <f>SUMIF($A$19:$A$23,A41,$C$19:$C$23)+(1-B41)*$B$25</f>
        <v/>
      </c>
      <c r="D41">
        <f>D40+C41</f>
        <v/>
      </c>
      <c r="E41">
        <f>A41+(1-(D41&gt;=$B$14))*10000</f>
        <v/>
      </c>
    </row>
    <row r="42">
      <c r="A42" t="n">
        <v>1995</v>
      </c>
      <c r="B42">
        <f>COUNTIF($A$19:$A$23,A42)</f>
        <v/>
      </c>
      <c r="C42">
        <f>SUMIF($A$19:$A$23,A42,$C$19:$C$23)+(1-B42)*$B$25</f>
        <v/>
      </c>
      <c r="D42">
        <f>D41+C42</f>
        <v/>
      </c>
      <c r="E42">
        <f>A42+(1-(D42&gt;=$B$14))*10000</f>
        <v/>
      </c>
    </row>
    <row r="43">
      <c r="A43" t="n">
        <v>1996</v>
      </c>
      <c r="B43">
        <f>COUNTIF($A$19:$A$23,A43)</f>
        <v/>
      </c>
      <c r="C43">
        <f>SUMIF($A$19:$A$23,A43,$C$19:$C$23)+(1-B43)*$B$25</f>
        <v/>
      </c>
      <c r="D43">
        <f>D42+C43</f>
        <v/>
      </c>
      <c r="E43">
        <f>A43+(1-(D43&gt;=$B$14))*10000</f>
        <v/>
      </c>
    </row>
    <row r="44">
      <c r="A44" t="n">
        <v>1997</v>
      </c>
      <c r="B44">
        <f>COUNTIF($A$19:$A$23,A44)</f>
        <v/>
      </c>
      <c r="C44">
        <f>SUMIF($A$19:$A$23,A44,$C$19:$C$23)+(1-B44)*$B$25</f>
        <v/>
      </c>
      <c r="D44">
        <f>D43+C44</f>
        <v/>
      </c>
      <c r="E44">
        <f>A44+(1-(D44&gt;=$B$14))*10000</f>
        <v/>
      </c>
    </row>
    <row r="45">
      <c r="A45" t="n">
        <v>1998</v>
      </c>
      <c r="B45">
        <f>COUNTIF($A$19:$A$23,A45)</f>
        <v/>
      </c>
      <c r="C45">
        <f>SUMIF($A$19:$A$23,A45,$C$19:$C$23)+(1-B45)*$B$25</f>
        <v/>
      </c>
      <c r="D45">
        <f>D44+C45</f>
        <v/>
      </c>
      <c r="E45">
        <f>A45+(1-(D45&gt;=$B$14))*10000</f>
        <v/>
      </c>
    </row>
    <row r="46">
      <c r="A46" t="n">
        <v>1999</v>
      </c>
      <c r="B46">
        <f>COUNTIF($A$19:$A$23,A46)</f>
        <v/>
      </c>
      <c r="C46">
        <f>SUMIF($A$19:$A$23,A46,$C$19:$C$23)+(1-B46)*$B$25</f>
        <v/>
      </c>
      <c r="D46">
        <f>D45+C46</f>
        <v/>
      </c>
      <c r="E46">
        <f>A46+(1-(D46&gt;=$B$14))*10000</f>
        <v/>
      </c>
    </row>
    <row r="47">
      <c r="A47" t="n">
        <v>2000</v>
      </c>
      <c r="B47">
        <f>COUNTIF($A$19:$A$23,A47)</f>
        <v/>
      </c>
      <c r="C47">
        <f>SUMIF($A$19:$A$23,A47,$C$19:$C$23)+(1-B47)*$B$25</f>
        <v/>
      </c>
      <c r="D47">
        <f>D46+C47</f>
        <v/>
      </c>
      <c r="E47">
        <f>A47+(1-(D47&gt;=$B$14))*10000</f>
        <v/>
      </c>
    </row>
    <row r="48">
      <c r="A48" t="n">
        <v>2001</v>
      </c>
      <c r="B48">
        <f>COUNTIF($A$19:$A$23,A48)</f>
        <v/>
      </c>
      <c r="C48">
        <f>SUMIF($A$19:$A$23,A48,$C$19:$C$23)+(1-B48)*$B$25</f>
        <v/>
      </c>
      <c r="D48">
        <f>D47+C48</f>
        <v/>
      </c>
      <c r="E48">
        <f>A48+(1-(D48&gt;=$B$14))*10000</f>
        <v/>
      </c>
    </row>
    <row r="49">
      <c r="A49" t="n">
        <v>2002</v>
      </c>
      <c r="B49">
        <f>COUNTIF($A$19:$A$23,A49)</f>
        <v/>
      </c>
      <c r="C49">
        <f>SUMIF($A$19:$A$23,A49,$C$19:$C$23)+(1-B49)*$B$25</f>
        <v/>
      </c>
      <c r="D49">
        <f>D48+C49</f>
        <v/>
      </c>
      <c r="E49">
        <f>A49+(1-(D49&gt;=$B$14))*10000</f>
        <v/>
      </c>
    </row>
    <row r="50">
      <c r="A50" t="n">
        <v>2003</v>
      </c>
      <c r="B50">
        <f>COUNTIF($A$19:$A$23,A50)</f>
        <v/>
      </c>
      <c r="C50">
        <f>SUMIF($A$19:$A$23,A50,$C$19:$C$23)+(1-B50)*$B$25</f>
        <v/>
      </c>
      <c r="D50">
        <f>D49+C50</f>
        <v/>
      </c>
      <c r="E50">
        <f>A50+(1-(D50&gt;=$B$14))*10000</f>
        <v/>
      </c>
    </row>
    <row r="51">
      <c r="A51" t="n">
        <v>2004</v>
      </c>
      <c r="B51">
        <f>COUNTIF($A$19:$A$23,A51)</f>
        <v/>
      </c>
      <c r="C51">
        <f>SUMIF($A$19:$A$23,A51,$C$19:$C$23)+(1-B51)*$B$25</f>
        <v/>
      </c>
      <c r="D51">
        <f>D50+C51</f>
        <v/>
      </c>
      <c r="E51">
        <f>A51+(1-(D51&gt;=$B$14))*10000</f>
        <v/>
      </c>
    </row>
    <row r="52">
      <c r="A52" t="n">
        <v>2005</v>
      </c>
      <c r="B52">
        <f>COUNTIF($A$19:$A$23,A52)</f>
        <v/>
      </c>
      <c r="C52">
        <f>SUMIF($A$19:$A$23,A52,$C$19:$C$23)+(1-B52)*$B$25</f>
        <v/>
      </c>
      <c r="D52">
        <f>D51+C52</f>
        <v/>
      </c>
      <c r="E52">
        <f>A52+(1-(D52&gt;=$B$14))*10000</f>
        <v/>
      </c>
    </row>
    <row r="55">
      <c r="A55" s="1" t="inlineStr">
        <is>
          <t>Rate</t>
        </is>
      </c>
      <c r="B55" s="1" t="inlineStr">
        <is>
          <t>Years after a (k)</t>
        </is>
      </c>
      <c r="C55" s="1" t="inlineStr">
        <is>
          <t>Year a + k</t>
        </is>
      </c>
      <c r="D55" s="1" t="inlineStr">
        <is>
          <t>r (hm3/yr)</t>
        </is>
      </c>
      <c r="E55" s="1" t="inlineStr">
        <is>
          <t>S0 + k r (hm3)</t>
        </is>
      </c>
      <c r="F55" s="1" t="inlineStr">
        <is>
          <t>H(S) (m), limited to the crest</t>
        </is>
      </c>
    </row>
    <row r="56">
      <c r="A56" t="inlineStr">
        <is>
          <t>Mean</t>
        </is>
      </c>
      <c r="B56" t="n">
        <v>0</v>
      </c>
      <c r="C56">
        <f>$B$12+B56</f>
        <v/>
      </c>
      <c r="D56">
        <f>$B$25</f>
        <v/>
      </c>
      <c r="E56">
        <f>$B$29+B56*D56</f>
        <v/>
      </c>
      <c r="F56">
        <f>$B$3+($B$4-$B$3)*(MIN(E56,$B$15)/$B$7)^(1/$B$8)</f>
        <v/>
      </c>
    </row>
    <row r="57">
      <c r="A57" t="inlineStr">
        <is>
          <t>Mean</t>
        </is>
      </c>
      <c r="B57" t="n">
        <v>1</v>
      </c>
      <c r="C57">
        <f>$B$12+B57</f>
        <v/>
      </c>
      <c r="D57">
        <f>$B$25</f>
        <v/>
      </c>
      <c r="E57">
        <f>$B$29+B57*D57</f>
        <v/>
      </c>
      <c r="F57">
        <f>$B$3+($B$4-$B$3)*(MIN(E57,$B$15)/$B$7)^(1/$B$8)</f>
        <v/>
      </c>
    </row>
    <row r="58">
      <c r="A58" t="inlineStr">
        <is>
          <t>Mean</t>
        </is>
      </c>
      <c r="B58" t="n">
        <v>10</v>
      </c>
      <c r="C58">
        <f>$B$12+B58</f>
        <v/>
      </c>
      <c r="D58">
        <f>$B$25</f>
        <v/>
      </c>
      <c r="E58">
        <f>$B$29+B58*D58</f>
        <v/>
      </c>
      <c r="F58">
        <f>$B$3+($B$4-$B$3)*(MIN(E58,$B$15)/$B$7)^(1/$B$8)</f>
        <v/>
      </c>
    </row>
    <row r="59">
      <c r="A59" t="inlineStr">
        <is>
          <t>Mean</t>
        </is>
      </c>
      <c r="B59" t="n">
        <v>50</v>
      </c>
      <c r="C59">
        <f>$B$12+B59</f>
        <v/>
      </c>
      <c r="D59">
        <f>$B$25</f>
        <v/>
      </c>
      <c r="E59">
        <f>$B$29+B59*D59</f>
        <v/>
      </c>
      <c r="F59">
        <f>$B$3+($B$4-$B$3)*(MIN(E59,$B$15)/$B$7)^(1/$B$8)</f>
        <v/>
      </c>
    </row>
    <row r="60">
      <c r="A60" t="inlineStr">
        <is>
          <t>Mean</t>
        </is>
      </c>
      <c r="B60" t="n">
        <v>100</v>
      </c>
      <c r="C60">
        <f>$B$12+B60</f>
        <v/>
      </c>
      <c r="D60">
        <f>$B$25</f>
        <v/>
      </c>
      <c r="E60">
        <f>$B$29+B60*D60</f>
        <v/>
      </c>
      <c r="F60">
        <f>$B$3+($B$4-$B$3)*(MIN(E60,$B$15)/$B$7)^(1/$B$8)</f>
        <v/>
      </c>
    </row>
    <row r="61">
      <c r="A61" t="inlineStr">
        <is>
          <t>Min</t>
        </is>
      </c>
      <c r="B61" t="n">
        <v>0</v>
      </c>
      <c r="C61">
        <f>$B$12+B61</f>
        <v/>
      </c>
      <c r="D61">
        <f>$B$26</f>
        <v/>
      </c>
      <c r="E61">
        <f>$B$29+B61*D61</f>
        <v/>
      </c>
      <c r="F61">
        <f>$B$3+($B$4-$B$3)*(MIN(E61,$B$15)/$B$7)^(1/$B$8)</f>
        <v/>
      </c>
    </row>
    <row r="62">
      <c r="A62" t="inlineStr">
        <is>
          <t>Min</t>
        </is>
      </c>
      <c r="B62" t="n">
        <v>1</v>
      </c>
      <c r="C62">
        <f>$B$12+B62</f>
        <v/>
      </c>
      <c r="D62">
        <f>$B$26</f>
        <v/>
      </c>
      <c r="E62">
        <f>$B$29+B62*D62</f>
        <v/>
      </c>
      <c r="F62">
        <f>$B$3+($B$4-$B$3)*(MIN(E62,$B$15)/$B$7)^(1/$B$8)</f>
        <v/>
      </c>
    </row>
    <row r="63">
      <c r="A63" t="inlineStr">
        <is>
          <t>Min</t>
        </is>
      </c>
      <c r="B63" t="n">
        <v>10</v>
      </c>
      <c r="C63">
        <f>$B$12+B63</f>
        <v/>
      </c>
      <c r="D63">
        <f>$B$26</f>
        <v/>
      </c>
      <c r="E63">
        <f>$B$29+B63*D63</f>
        <v/>
      </c>
      <c r="F63">
        <f>$B$3+($B$4-$B$3)*(MIN(E63,$B$15)/$B$7)^(1/$B$8)</f>
        <v/>
      </c>
    </row>
    <row r="64">
      <c r="A64" t="inlineStr">
        <is>
          <t>Min</t>
        </is>
      </c>
      <c r="B64" t="n">
        <v>50</v>
      </c>
      <c r="C64">
        <f>$B$12+B64</f>
        <v/>
      </c>
      <c r="D64">
        <f>$B$26</f>
        <v/>
      </c>
      <c r="E64">
        <f>$B$29+B64*D64</f>
        <v/>
      </c>
      <c r="F64">
        <f>$B$3+($B$4-$B$3)*(MIN(E64,$B$15)/$B$7)^(1/$B$8)</f>
        <v/>
      </c>
    </row>
    <row r="65">
      <c r="A65" t="inlineStr">
        <is>
          <t>Min</t>
        </is>
      </c>
      <c r="B65" t="n">
        <v>100</v>
      </c>
      <c r="C65">
        <f>$B$12+B65</f>
        <v/>
      </c>
      <c r="D65">
        <f>$B$26</f>
        <v/>
      </c>
      <c r="E65">
        <f>$B$29+B65*D65</f>
        <v/>
      </c>
      <c r="F65">
        <f>$B$3+($B$4-$B$3)*(MIN(E65,$B$15)/$B$7)^(1/$B$8)</f>
        <v/>
      </c>
    </row>
    <row r="66">
      <c r="A66" t="inlineStr">
        <is>
          <t>Max</t>
        </is>
      </c>
      <c r="B66" t="n">
        <v>0</v>
      </c>
      <c r="C66">
        <f>$B$12+B66</f>
        <v/>
      </c>
      <c r="D66">
        <f>$B$27</f>
        <v/>
      </c>
      <c r="E66">
        <f>$B$29+B66*D66</f>
        <v/>
      </c>
      <c r="F66">
        <f>$B$3+($B$4-$B$3)*(MIN(E66,$B$15)/$B$7)^(1/$B$8)</f>
        <v/>
      </c>
    </row>
    <row r="67">
      <c r="A67" t="inlineStr">
        <is>
          <t>Max</t>
        </is>
      </c>
      <c r="B67" t="n">
        <v>1</v>
      </c>
      <c r="C67">
        <f>$B$12+B67</f>
        <v/>
      </c>
      <c r="D67">
        <f>$B$27</f>
        <v/>
      </c>
      <c r="E67">
        <f>$B$29+B67*D67</f>
        <v/>
      </c>
      <c r="F67">
        <f>$B$3+($B$4-$B$3)*(MIN(E67,$B$15)/$B$7)^(1/$B$8)</f>
        <v/>
      </c>
    </row>
    <row r="68">
      <c r="A68" t="inlineStr">
        <is>
          <t>Max</t>
        </is>
      </c>
      <c r="B68" t="n">
        <v>10</v>
      </c>
      <c r="C68">
        <f>$B$12+B68</f>
        <v/>
      </c>
      <c r="D68">
        <f>$B$27</f>
        <v/>
      </c>
      <c r="E68">
        <f>$B$29+B68*D68</f>
        <v/>
      </c>
      <c r="F68">
        <f>$B$3+($B$4-$B$3)*(MIN(E68,$B$15)/$B$7)^(1/$B$8)</f>
        <v/>
      </c>
    </row>
    <row r="69">
      <c r="A69" t="inlineStr">
        <is>
          <t>Max</t>
        </is>
      </c>
      <c r="B69" t="n">
        <v>50</v>
      </c>
      <c r="C69">
        <f>$B$12+B69</f>
        <v/>
      </c>
      <c r="D69">
        <f>$B$27</f>
        <v/>
      </c>
      <c r="E69">
        <f>$B$29+B69*D69</f>
        <v/>
      </c>
      <c r="F69">
        <f>$B$3+($B$4-$B$3)*(MIN(E69,$B$15)/$B$7)^(1/$B$8)</f>
        <v/>
      </c>
    </row>
    <row r="70">
      <c r="A70" t="inlineStr">
        <is>
          <t>Max</t>
        </is>
      </c>
      <c r="B70" t="n">
        <v>100</v>
      </c>
      <c r="C70">
        <f>$B$12+B70</f>
        <v/>
      </c>
      <c r="D70">
        <f>$B$27</f>
        <v/>
      </c>
      <c r="E70">
        <f>$B$29+B70*D70</f>
        <v/>
      </c>
      <c r="F70">
        <f>$B$3+($B$4-$B$3)*(MIN(E70,$B$15)/$B$7)^(1/$B$8)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34" customWidth="1" min="3" max="3"/>
    <col width="30" customWidth="1" min="4" max="4"/>
    <col width="28" customWidth="1" min="5" max="5"/>
    <col width="30" customWidth="1" min="6" max="6"/>
  </cols>
  <sheetData>
    <row r="1">
      <c r="A1" s="1" t="inlineStr">
        <is>
          <t>Case 6: Nothing delivered</t>
        </is>
      </c>
    </row>
    <row r="3">
      <c r="A3" t="inlineStr">
        <is>
          <t>Hbed (m)</t>
        </is>
      </c>
      <c r="B3" t="n">
        <v>100</v>
      </c>
    </row>
    <row r="4">
      <c r="A4" t="inlineStr">
        <is>
          <t>Hmax (m)</t>
        </is>
      </c>
      <c r="B4" t="n">
        <v>150</v>
      </c>
    </row>
    <row r="5">
      <c r="A5" t="inlineStr">
        <is>
          <t>Hcrest (m)</t>
        </is>
      </c>
      <c r="B5" t="n">
        <v>155</v>
      </c>
    </row>
    <row r="6">
      <c r="A6" t="inlineStr">
        <is>
          <t>Vactive (hm3)</t>
        </is>
      </c>
      <c r="B6" t="n">
        <v>120</v>
      </c>
    </row>
    <row r="7">
      <c r="A7" t="inlineStr">
        <is>
          <t>Vmax (hm3)</t>
        </is>
      </c>
      <c r="B7" t="n">
        <v>200</v>
      </c>
    </row>
    <row r="8">
      <c r="A8" t="inlineStr">
        <is>
          <t>Exponent m</t>
        </is>
      </c>
      <c r="B8" t="n">
        <v>2</v>
      </c>
    </row>
    <row r="9">
      <c r="A9" t="inlineStr">
        <is>
          <t>Suspended Vs (m3/yr)</t>
        </is>
      </c>
      <c r="B9" t="n">
        <v>0</v>
      </c>
    </row>
    <row r="10">
      <c r="A10" t="inlineStr">
        <is>
          <t>Trap efficiency TE (%)</t>
        </is>
      </c>
      <c r="B10" t="n">
        <v>100</v>
      </c>
    </row>
    <row r="11">
      <c r="A11" t="inlineStr">
        <is>
          <t>Commissioning year c</t>
        </is>
      </c>
      <c r="B11" t="n">
        <v>2001</v>
      </c>
    </row>
    <row r="12">
      <c r="A12" t="inlineStr">
        <is>
          <t>Analysis year a</t>
        </is>
      </c>
      <c r="B12" t="n">
        <v>2006</v>
      </c>
    </row>
    <row r="14">
      <c r="A14" t="inlineStr">
        <is>
          <t>Vdead (hm3) = Vmax - Vactive</t>
        </is>
      </c>
      <c r="B14">
        <f>B7-B6</f>
        <v/>
      </c>
    </row>
    <row r="15">
      <c r="A15" t="inlineStr">
        <is>
          <t>V(Hcrest) (hm3) = Vmax ((Hcrest-Hbed)/(Hmax-Hbed))^m</t>
        </is>
      </c>
      <c r="B15">
        <f>B7*((B5-B3)/(B4-B3))^B8</f>
        <v/>
      </c>
    </row>
    <row r="16">
      <c r="A16" t="inlineStr">
        <is>
          <t>Hmin (m) = H(Vdead)</t>
        </is>
      </c>
      <c r="B16">
        <f>B3+(B4-B3)*(B14/B7)^(1/B8)</f>
        <v/>
      </c>
    </row>
    <row r="18">
      <c r="A18" s="1" t="inlineStr">
        <is>
          <t>Record year</t>
        </is>
      </c>
      <c r="B18" s="1" t="inlineStr">
        <is>
          <t>Bedload Vb (m3/yr)</t>
        </is>
      </c>
      <c r="C18" s="1" t="inlineStr">
        <is>
          <t>T (hm3) = TE/100 (Vs + Vb) / 1e6</t>
        </is>
      </c>
      <c r="D18" s="1" t="inlineStr">
        <is>
          <t>H(T) (m), limited to the crest</t>
        </is>
      </c>
    </row>
    <row r="19">
      <c r="A19" t="n">
        <v>2001</v>
      </c>
      <c r="B19" t="n">
        <v>0</v>
      </c>
      <c r="C19">
        <f>$B$10/100*($B$9+B19)/1000000</f>
        <v/>
      </c>
      <c r="D19">
        <f>$B$3+($B$4-$B$3)*(MIN(C19,$B$15)/$B$7)^(1/$B$8)</f>
        <v/>
      </c>
    </row>
    <row r="20">
      <c r="A20" t="n">
        <v>2002</v>
      </c>
      <c r="B20" t="n">
        <v>0</v>
      </c>
      <c r="C20">
        <f>$B$10/100*($B$9+B20)/1000000</f>
        <v/>
      </c>
      <c r="D20">
        <f>$B$3+($B$4-$B$3)*(MIN(C20,$B$15)/$B$7)^(1/$B$8)</f>
        <v/>
      </c>
    </row>
    <row r="21">
      <c r="A21" t="n">
        <v>2003</v>
      </c>
      <c r="B21" t="n">
        <v>0</v>
      </c>
      <c r="C21">
        <f>$B$10/100*($B$9+B21)/1000000</f>
        <v/>
      </c>
      <c r="D21">
        <f>$B$3+($B$4-$B$3)*(MIN(C21,$B$15)/$B$7)^(1/$B$8)</f>
        <v/>
      </c>
    </row>
    <row r="22">
      <c r="A22" t="n">
        <v>2004</v>
      </c>
      <c r="B22" t="n">
        <v>0</v>
      </c>
      <c r="C22">
        <f>$B$10/100*($B$9+B22)/1000000</f>
        <v/>
      </c>
      <c r="D22">
        <f>$B$3+($B$4-$B$3)*(MIN(C22,$B$15)/$B$7)^(1/$B$8)</f>
        <v/>
      </c>
    </row>
    <row r="23">
      <c r="A23" t="n">
        <v>2005</v>
      </c>
      <c r="B23" t="n">
        <v>0</v>
      </c>
      <c r="C23">
        <f>$B$10/100*($B$9+B23)/1000000</f>
        <v/>
      </c>
      <c r="D23">
        <f>$B$3+($B$4-$B$3)*(MIN(C23,$B$15)/$B$7)^(1/$B$8)</f>
        <v/>
      </c>
    </row>
    <row r="25">
      <c r="A25" t="inlineStr">
        <is>
          <t>Rate, mean (hm3/yr)</t>
        </is>
      </c>
      <c r="B25">
        <f>AVERAGE(C19:C23)</f>
        <v/>
      </c>
    </row>
    <row r="26">
      <c r="A26" t="inlineStr">
        <is>
          <t>Rate, min year (hm3/yr)</t>
        </is>
      </c>
      <c r="B26">
        <f>MIN(C19:C23)</f>
        <v/>
      </c>
    </row>
    <row r="27">
      <c r="A27" t="inlineStr">
        <is>
          <t>Rate, max year (hm3/yr)</t>
        </is>
      </c>
      <c r="B27">
        <f>MAX(C19:C23)</f>
        <v/>
      </c>
    </row>
    <row r="29">
      <c r="A29" t="inlineStr">
        <is>
          <t>Accumulation to date S0 (hm3) = sum of T' for c &lt;= y &lt; a</t>
        </is>
      </c>
      <c r="B29">
        <f>SUM(C37:C41)</f>
        <v/>
      </c>
    </row>
    <row r="30">
      <c r="A30" t="inlineStr">
        <is>
          <t>H(S0) (m), limited to the crest</t>
        </is>
      </c>
      <c r="B30">
        <f>$B$3+($B$4-$B$3)*(MIN(B29,$B$15)/$B$7)^(1/$B$8)</f>
        <v/>
      </c>
    </row>
    <row r="31">
      <c r="A31" t="inlineStr">
        <is>
          <t>Year the dead volume was passed (if S0 &gt;= Vdead)</t>
        </is>
      </c>
      <c r="B31">
        <f>IF(B29&gt;=B14,MIN(E37:E41),"no")</f>
        <v/>
      </c>
    </row>
    <row r="32">
      <c r="A32" t="inlineStr">
        <is>
          <t>Lifespan at the mean rate: a + (Vdead - S0) / r</t>
        </is>
      </c>
      <c r="B32">
        <f>IF($B$29&gt;=$B$14,"exceeded",IF(B25=0,"not reached",$B$12+($B$14-$B$29)/B25))</f>
        <v/>
      </c>
    </row>
    <row r="33">
      <c r="A33" t="inlineStr">
        <is>
          <t>Lifespan at the min rate: a + (Vdead - S0) / r</t>
        </is>
      </c>
      <c r="B33">
        <f>IF($B$29&gt;=$B$14,"exceeded",IF(B26=0,"not reached",$B$12+($B$14-$B$29)/B26))</f>
        <v/>
      </c>
    </row>
    <row r="34">
      <c r="A34" t="inlineStr">
        <is>
          <t>Lifespan at the max rate: a + (Vdead - S0) / r</t>
        </is>
      </c>
      <c r="B34">
        <f>IF($B$29&gt;=$B$14,"exceeded",IF(B27=0,"not reached",$B$12+($B$14-$B$29)/B27))</f>
        <v/>
      </c>
    </row>
    <row r="36">
      <c r="A36" s="1" t="inlineStr">
        <is>
          <t>Year c to a-1</t>
        </is>
      </c>
      <c r="B36" s="1" t="inlineStr">
        <is>
          <t>In record (1/0)</t>
        </is>
      </c>
      <c r="C36" s="1" t="inlineStr">
        <is>
          <t>T' used (hm3)</t>
        </is>
      </c>
      <c r="D36" s="1" t="inlineStr">
        <is>
          <t>Cumulative (hm3)</t>
        </is>
      </c>
      <c r="E36" s="1" t="inlineStr">
        <is>
          <t>Year, or +10000 if below Vdead</t>
        </is>
      </c>
    </row>
    <row r="37">
      <c r="A37" t="n">
        <v>2001</v>
      </c>
      <c r="B37">
        <f>COUNTIF($A$19:$A$23,A37)</f>
        <v/>
      </c>
      <c r="C37">
        <f>SUMIF($A$19:$A$23,A37,$C$19:$C$23)+(1-B37)*$B$25</f>
        <v/>
      </c>
      <c r="D37">
        <f>C37</f>
        <v/>
      </c>
      <c r="E37">
        <f>A37+(1-(D37&gt;=$B$14))*10000</f>
        <v/>
      </c>
    </row>
    <row r="38">
      <c r="A38" t="n">
        <v>2002</v>
      </c>
      <c r="B38">
        <f>COUNTIF($A$19:$A$23,A38)</f>
        <v/>
      </c>
      <c r="C38">
        <f>SUMIF($A$19:$A$23,A38,$C$19:$C$23)+(1-B38)*$B$25</f>
        <v/>
      </c>
      <c r="D38">
        <f>D37+C38</f>
        <v/>
      </c>
      <c r="E38">
        <f>A38+(1-(D38&gt;=$B$14))*10000</f>
        <v/>
      </c>
    </row>
    <row r="39">
      <c r="A39" t="n">
        <v>2003</v>
      </c>
      <c r="B39">
        <f>COUNTIF($A$19:$A$23,A39)</f>
        <v/>
      </c>
      <c r="C39">
        <f>SUMIF($A$19:$A$23,A39,$C$19:$C$23)+(1-B39)*$B$25</f>
        <v/>
      </c>
      <c r="D39">
        <f>D38+C39</f>
        <v/>
      </c>
      <c r="E39">
        <f>A39+(1-(D39&gt;=$B$14))*10000</f>
        <v/>
      </c>
    </row>
    <row r="40">
      <c r="A40" t="n">
        <v>2004</v>
      </c>
      <c r="B40">
        <f>COUNTIF($A$19:$A$23,A40)</f>
        <v/>
      </c>
      <c r="C40">
        <f>SUMIF($A$19:$A$23,A40,$C$19:$C$23)+(1-B40)*$B$25</f>
        <v/>
      </c>
      <c r="D40">
        <f>D39+C40</f>
        <v/>
      </c>
      <c r="E40">
        <f>A40+(1-(D40&gt;=$B$14))*10000</f>
        <v/>
      </c>
    </row>
    <row r="41">
      <c r="A41" t="n">
        <v>2005</v>
      </c>
      <c r="B41">
        <f>COUNTIF($A$19:$A$23,A41)</f>
        <v/>
      </c>
      <c r="C41">
        <f>SUMIF($A$19:$A$23,A41,$C$19:$C$23)+(1-B41)*$B$25</f>
        <v/>
      </c>
      <c r="D41">
        <f>D40+C41</f>
        <v/>
      </c>
      <c r="E41">
        <f>A41+(1-(D41&gt;=$B$14))*10000</f>
        <v/>
      </c>
    </row>
    <row r="44">
      <c r="A44" s="1" t="inlineStr">
        <is>
          <t>Rate</t>
        </is>
      </c>
      <c r="B44" s="1" t="inlineStr">
        <is>
          <t>Years after a (k)</t>
        </is>
      </c>
      <c r="C44" s="1" t="inlineStr">
        <is>
          <t>Year a + k</t>
        </is>
      </c>
      <c r="D44" s="1" t="inlineStr">
        <is>
          <t>r (hm3/yr)</t>
        </is>
      </c>
      <c r="E44" s="1" t="inlineStr">
        <is>
          <t>S0 + k r (hm3)</t>
        </is>
      </c>
      <c r="F44" s="1" t="inlineStr">
        <is>
          <t>H(S) (m), limited to the crest</t>
        </is>
      </c>
    </row>
    <row r="45">
      <c r="A45" t="inlineStr">
        <is>
          <t>Mean</t>
        </is>
      </c>
      <c r="B45" t="n">
        <v>0</v>
      </c>
      <c r="C45">
        <f>$B$12+B45</f>
        <v/>
      </c>
      <c r="D45">
        <f>$B$25</f>
        <v/>
      </c>
      <c r="E45">
        <f>$B$29+B45*D45</f>
        <v/>
      </c>
      <c r="F45">
        <f>$B$3+($B$4-$B$3)*(MIN(E45,$B$15)/$B$7)^(1/$B$8)</f>
        <v/>
      </c>
    </row>
    <row r="46">
      <c r="A46" t="inlineStr">
        <is>
          <t>Mean</t>
        </is>
      </c>
      <c r="B46" t="n">
        <v>1</v>
      </c>
      <c r="C46">
        <f>$B$12+B46</f>
        <v/>
      </c>
      <c r="D46">
        <f>$B$25</f>
        <v/>
      </c>
      <c r="E46">
        <f>$B$29+B46*D46</f>
        <v/>
      </c>
      <c r="F46">
        <f>$B$3+($B$4-$B$3)*(MIN(E46,$B$15)/$B$7)^(1/$B$8)</f>
        <v/>
      </c>
    </row>
    <row r="47">
      <c r="A47" t="inlineStr">
        <is>
          <t>Mean</t>
        </is>
      </c>
      <c r="B47" t="n">
        <v>10</v>
      </c>
      <c r="C47">
        <f>$B$12+B47</f>
        <v/>
      </c>
      <c r="D47">
        <f>$B$25</f>
        <v/>
      </c>
      <c r="E47">
        <f>$B$29+B47*D47</f>
        <v/>
      </c>
      <c r="F47">
        <f>$B$3+($B$4-$B$3)*(MIN(E47,$B$15)/$B$7)^(1/$B$8)</f>
        <v/>
      </c>
    </row>
    <row r="48">
      <c r="A48" t="inlineStr">
        <is>
          <t>Mean</t>
        </is>
      </c>
      <c r="B48" t="n">
        <v>50</v>
      </c>
      <c r="C48">
        <f>$B$12+B48</f>
        <v/>
      </c>
      <c r="D48">
        <f>$B$25</f>
        <v/>
      </c>
      <c r="E48">
        <f>$B$29+B48*D48</f>
        <v/>
      </c>
      <c r="F48">
        <f>$B$3+($B$4-$B$3)*(MIN(E48,$B$15)/$B$7)^(1/$B$8)</f>
        <v/>
      </c>
    </row>
    <row r="49">
      <c r="A49" t="inlineStr">
        <is>
          <t>Mean</t>
        </is>
      </c>
      <c r="B49" t="n">
        <v>100</v>
      </c>
      <c r="C49">
        <f>$B$12+B49</f>
        <v/>
      </c>
      <c r="D49">
        <f>$B$25</f>
        <v/>
      </c>
      <c r="E49">
        <f>$B$29+B49*D49</f>
        <v/>
      </c>
      <c r="F49">
        <f>$B$3+($B$4-$B$3)*(MIN(E49,$B$15)/$B$7)^(1/$B$8)</f>
        <v/>
      </c>
    </row>
    <row r="50">
      <c r="A50" t="inlineStr">
        <is>
          <t>Min</t>
        </is>
      </c>
      <c r="B50" t="n">
        <v>0</v>
      </c>
      <c r="C50">
        <f>$B$12+B50</f>
        <v/>
      </c>
      <c r="D50">
        <f>$B$26</f>
        <v/>
      </c>
      <c r="E50">
        <f>$B$29+B50*D50</f>
        <v/>
      </c>
      <c r="F50">
        <f>$B$3+($B$4-$B$3)*(MIN(E50,$B$15)/$B$7)^(1/$B$8)</f>
        <v/>
      </c>
    </row>
    <row r="51">
      <c r="A51" t="inlineStr">
        <is>
          <t>Min</t>
        </is>
      </c>
      <c r="B51" t="n">
        <v>1</v>
      </c>
      <c r="C51">
        <f>$B$12+B51</f>
        <v/>
      </c>
      <c r="D51">
        <f>$B$26</f>
        <v/>
      </c>
      <c r="E51">
        <f>$B$29+B51*D51</f>
        <v/>
      </c>
      <c r="F51">
        <f>$B$3+($B$4-$B$3)*(MIN(E51,$B$15)/$B$7)^(1/$B$8)</f>
        <v/>
      </c>
    </row>
    <row r="52">
      <c r="A52" t="inlineStr">
        <is>
          <t>Min</t>
        </is>
      </c>
      <c r="B52" t="n">
        <v>10</v>
      </c>
      <c r="C52">
        <f>$B$12+B52</f>
        <v/>
      </c>
      <c r="D52">
        <f>$B$26</f>
        <v/>
      </c>
      <c r="E52">
        <f>$B$29+B52*D52</f>
        <v/>
      </c>
      <c r="F52">
        <f>$B$3+($B$4-$B$3)*(MIN(E52,$B$15)/$B$7)^(1/$B$8)</f>
        <v/>
      </c>
    </row>
    <row r="53">
      <c r="A53" t="inlineStr">
        <is>
          <t>Min</t>
        </is>
      </c>
      <c r="B53" t="n">
        <v>50</v>
      </c>
      <c r="C53">
        <f>$B$12+B53</f>
        <v/>
      </c>
      <c r="D53">
        <f>$B$26</f>
        <v/>
      </c>
      <c r="E53">
        <f>$B$29+B53*D53</f>
        <v/>
      </c>
      <c r="F53">
        <f>$B$3+($B$4-$B$3)*(MIN(E53,$B$15)/$B$7)^(1/$B$8)</f>
        <v/>
      </c>
    </row>
    <row r="54">
      <c r="A54" t="inlineStr">
        <is>
          <t>Min</t>
        </is>
      </c>
      <c r="B54" t="n">
        <v>100</v>
      </c>
      <c r="C54">
        <f>$B$12+B54</f>
        <v/>
      </c>
      <c r="D54">
        <f>$B$26</f>
        <v/>
      </c>
      <c r="E54">
        <f>$B$29+B54*D54</f>
        <v/>
      </c>
      <c r="F54">
        <f>$B$3+($B$4-$B$3)*(MIN(E54,$B$15)/$B$7)^(1/$B$8)</f>
        <v/>
      </c>
    </row>
    <row r="55">
      <c r="A55" t="inlineStr">
        <is>
          <t>Max</t>
        </is>
      </c>
      <c r="B55" t="n">
        <v>0</v>
      </c>
      <c r="C55">
        <f>$B$12+B55</f>
        <v/>
      </c>
      <c r="D55">
        <f>$B$27</f>
        <v/>
      </c>
      <c r="E55">
        <f>$B$29+B55*D55</f>
        <v/>
      </c>
      <c r="F55">
        <f>$B$3+($B$4-$B$3)*(MIN(E55,$B$15)/$B$7)^(1/$B$8)</f>
        <v/>
      </c>
    </row>
    <row r="56">
      <c r="A56" t="inlineStr">
        <is>
          <t>Max</t>
        </is>
      </c>
      <c r="B56" t="n">
        <v>1</v>
      </c>
      <c r="C56">
        <f>$B$12+B56</f>
        <v/>
      </c>
      <c r="D56">
        <f>$B$27</f>
        <v/>
      </c>
      <c r="E56">
        <f>$B$29+B56*D56</f>
        <v/>
      </c>
      <c r="F56">
        <f>$B$3+($B$4-$B$3)*(MIN(E56,$B$15)/$B$7)^(1/$B$8)</f>
        <v/>
      </c>
    </row>
    <row r="57">
      <c r="A57" t="inlineStr">
        <is>
          <t>Max</t>
        </is>
      </c>
      <c r="B57" t="n">
        <v>10</v>
      </c>
      <c r="C57">
        <f>$B$12+B57</f>
        <v/>
      </c>
      <c r="D57">
        <f>$B$27</f>
        <v/>
      </c>
      <c r="E57">
        <f>$B$29+B57*D57</f>
        <v/>
      </c>
      <c r="F57">
        <f>$B$3+($B$4-$B$3)*(MIN(E57,$B$15)/$B$7)^(1/$B$8)</f>
        <v/>
      </c>
    </row>
    <row r="58">
      <c r="A58" t="inlineStr">
        <is>
          <t>Max</t>
        </is>
      </c>
      <c r="B58" t="n">
        <v>50</v>
      </c>
      <c r="C58">
        <f>$B$12+B58</f>
        <v/>
      </c>
      <c r="D58">
        <f>$B$27</f>
        <v/>
      </c>
      <c r="E58">
        <f>$B$29+B58*D58</f>
        <v/>
      </c>
      <c r="F58">
        <f>$B$3+($B$4-$B$3)*(MIN(E58,$B$15)/$B$7)^(1/$B$8)</f>
        <v/>
      </c>
    </row>
    <row r="59">
      <c r="A59" t="inlineStr">
        <is>
          <t>Max</t>
        </is>
      </c>
      <c r="B59" t="n">
        <v>100</v>
      </c>
      <c r="C59">
        <f>$B$12+B59</f>
        <v/>
      </c>
      <c r="D59">
        <f>$B$27</f>
        <v/>
      </c>
      <c r="E59">
        <f>$B$29+B59*D59</f>
        <v/>
      </c>
      <c r="F59">
        <f>$B$3+($B$4-$B$3)*(MIN(E59,$B$15)/$B$7)^(1/$B$8)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34" customWidth="1" min="3" max="3"/>
    <col width="30" customWidth="1" min="4" max="4"/>
    <col width="28" customWidth="1" min="5" max="5"/>
    <col width="30" customWidth="1" min="6" max="6"/>
  </cols>
  <sheetData>
    <row r="1">
      <c r="A1" s="1" t="inlineStr">
        <is>
          <t>Case 7: The minimum year delivers nothing</t>
        </is>
      </c>
    </row>
    <row r="3">
      <c r="A3" t="inlineStr">
        <is>
          <t>Hbed (m)</t>
        </is>
      </c>
      <c r="B3" t="n">
        <v>100</v>
      </c>
    </row>
    <row r="4">
      <c r="A4" t="inlineStr">
        <is>
          <t>Hmax (m)</t>
        </is>
      </c>
      <c r="B4" t="n">
        <v>150</v>
      </c>
    </row>
    <row r="5">
      <c r="A5" t="inlineStr">
        <is>
          <t>Hcrest (m)</t>
        </is>
      </c>
      <c r="B5" t="n">
        <v>155</v>
      </c>
    </row>
    <row r="6">
      <c r="A6" t="inlineStr">
        <is>
          <t>Vactive (hm3)</t>
        </is>
      </c>
      <c r="B6" t="n">
        <v>120</v>
      </c>
    </row>
    <row r="7">
      <c r="A7" t="inlineStr">
        <is>
          <t>Vmax (hm3)</t>
        </is>
      </c>
      <c r="B7" t="n">
        <v>200</v>
      </c>
    </row>
    <row r="8">
      <c r="A8" t="inlineStr">
        <is>
          <t>Exponent m</t>
        </is>
      </c>
      <c r="B8" t="n">
        <v>2</v>
      </c>
    </row>
    <row r="9">
      <c r="A9" t="inlineStr">
        <is>
          <t>Suspended Vs (m3/yr)</t>
        </is>
      </c>
      <c r="B9" t="n">
        <v>0</v>
      </c>
    </row>
    <row r="10">
      <c r="A10" t="inlineStr">
        <is>
          <t>Trap efficiency TE (%)</t>
        </is>
      </c>
      <c r="B10" t="n">
        <v>100</v>
      </c>
    </row>
    <row r="11">
      <c r="A11" t="inlineStr">
        <is>
          <t>Commissioning year c</t>
        </is>
      </c>
      <c r="B11" t="n">
        <v>2001</v>
      </c>
    </row>
    <row r="12">
      <c r="A12" t="inlineStr">
        <is>
          <t>Analysis year a</t>
        </is>
      </c>
      <c r="B12" t="n">
        <v>2006</v>
      </c>
    </row>
    <row r="14">
      <c r="A14" t="inlineStr">
        <is>
          <t>Vdead (hm3) = Vmax - Vactive</t>
        </is>
      </c>
      <c r="B14">
        <f>B7-B6</f>
        <v/>
      </c>
    </row>
    <row r="15">
      <c r="A15" t="inlineStr">
        <is>
          <t>V(Hcrest) (hm3) = Vmax ((Hcrest-Hbed)/(Hmax-Hbed))^m</t>
        </is>
      </c>
      <c r="B15">
        <f>B7*((B5-B3)/(B4-B3))^B8</f>
        <v/>
      </c>
    </row>
    <row r="16">
      <c r="A16" t="inlineStr">
        <is>
          <t>Hmin (m) = H(Vdead)</t>
        </is>
      </c>
      <c r="B16">
        <f>B3+(B4-B3)*(B14/B7)^(1/B8)</f>
        <v/>
      </c>
    </row>
    <row r="18">
      <c r="A18" s="1" t="inlineStr">
        <is>
          <t>Record year</t>
        </is>
      </c>
      <c r="B18" s="1" t="inlineStr">
        <is>
          <t>Bedload Vb (m3/yr)</t>
        </is>
      </c>
      <c r="C18" s="1" t="inlineStr">
        <is>
          <t>T (hm3) = TE/100 (Vs + Vb) / 1e6</t>
        </is>
      </c>
      <c r="D18" s="1" t="inlineStr">
        <is>
          <t>H(T) (m), limited to the crest</t>
        </is>
      </c>
    </row>
    <row r="19">
      <c r="A19" t="n">
        <v>2001</v>
      </c>
      <c r="B19" t="n">
        <v>0</v>
      </c>
      <c r="C19">
        <f>$B$10/100*($B$9+B19)/1000000</f>
        <v/>
      </c>
      <c r="D19">
        <f>$B$3+($B$4-$B$3)*(MIN(C19,$B$15)/$B$7)^(1/$B$8)</f>
        <v/>
      </c>
    </row>
    <row r="20">
      <c r="A20" t="n">
        <v>2002</v>
      </c>
      <c r="B20" t="n">
        <v>1000000</v>
      </c>
      <c r="C20">
        <f>$B$10/100*($B$9+B20)/1000000</f>
        <v/>
      </c>
      <c r="D20">
        <f>$B$3+($B$4-$B$3)*(MIN(C20,$B$15)/$B$7)^(1/$B$8)</f>
        <v/>
      </c>
    </row>
    <row r="21">
      <c r="A21" t="n">
        <v>2003</v>
      </c>
      <c r="B21" t="n">
        <v>2000000</v>
      </c>
      <c r="C21">
        <f>$B$10/100*($B$9+B21)/1000000</f>
        <v/>
      </c>
      <c r="D21">
        <f>$B$3+($B$4-$B$3)*(MIN(C21,$B$15)/$B$7)^(1/$B$8)</f>
        <v/>
      </c>
    </row>
    <row r="22">
      <c r="A22" t="n">
        <v>2004</v>
      </c>
      <c r="B22" t="n">
        <v>500000</v>
      </c>
      <c r="C22">
        <f>$B$10/100*($B$9+B22)/1000000</f>
        <v/>
      </c>
      <c r="D22">
        <f>$B$3+($B$4-$B$3)*(MIN(C22,$B$15)/$B$7)^(1/$B$8)</f>
        <v/>
      </c>
    </row>
    <row r="23">
      <c r="A23" t="n">
        <v>2005</v>
      </c>
      <c r="B23" t="n">
        <v>1500000</v>
      </c>
      <c r="C23">
        <f>$B$10/100*($B$9+B23)/1000000</f>
        <v/>
      </c>
      <c r="D23">
        <f>$B$3+($B$4-$B$3)*(MIN(C23,$B$15)/$B$7)^(1/$B$8)</f>
        <v/>
      </c>
    </row>
    <row r="25">
      <c r="A25" t="inlineStr">
        <is>
          <t>Rate, mean (hm3/yr)</t>
        </is>
      </c>
      <c r="B25">
        <f>AVERAGE(C19:C23)</f>
        <v/>
      </c>
    </row>
    <row r="26">
      <c r="A26" t="inlineStr">
        <is>
          <t>Rate, min year (hm3/yr)</t>
        </is>
      </c>
      <c r="B26">
        <f>MIN(C19:C23)</f>
        <v/>
      </c>
    </row>
    <row r="27">
      <c r="A27" t="inlineStr">
        <is>
          <t>Rate, max year (hm3/yr)</t>
        </is>
      </c>
      <c r="B27">
        <f>MAX(C19:C23)</f>
        <v/>
      </c>
    </row>
    <row r="29">
      <c r="A29" t="inlineStr">
        <is>
          <t>Accumulation to date S0 (hm3) = sum of T' for c &lt;= y &lt; a</t>
        </is>
      </c>
      <c r="B29">
        <f>SUM(C37:C41)</f>
        <v/>
      </c>
    </row>
    <row r="30">
      <c r="A30" t="inlineStr">
        <is>
          <t>H(S0) (m), limited to the crest</t>
        </is>
      </c>
      <c r="B30">
        <f>$B$3+($B$4-$B$3)*(MIN(B29,$B$15)/$B$7)^(1/$B$8)</f>
        <v/>
      </c>
    </row>
    <row r="31">
      <c r="A31" t="inlineStr">
        <is>
          <t>Year the dead volume was passed (if S0 &gt;= Vdead)</t>
        </is>
      </c>
      <c r="B31">
        <f>IF(B29&gt;=B14,MIN(E37:E41),"no")</f>
        <v/>
      </c>
    </row>
    <row r="32">
      <c r="A32" t="inlineStr">
        <is>
          <t>Lifespan at the mean rate: a + (Vdead - S0) / r</t>
        </is>
      </c>
      <c r="B32">
        <f>IF($B$29&gt;=$B$14,"exceeded",IF(B25=0,"not reached",$B$12+($B$14-$B$29)/B25))</f>
        <v/>
      </c>
    </row>
    <row r="33">
      <c r="A33" t="inlineStr">
        <is>
          <t>Lifespan at the min rate: a + (Vdead - S0) / r</t>
        </is>
      </c>
      <c r="B33">
        <f>IF($B$29&gt;=$B$14,"exceeded",IF(B26=0,"not reached",$B$12+($B$14-$B$29)/B26))</f>
        <v/>
      </c>
    </row>
    <row r="34">
      <c r="A34" t="inlineStr">
        <is>
          <t>Lifespan at the max rate: a + (Vdead - S0) / r</t>
        </is>
      </c>
      <c r="B34">
        <f>IF($B$29&gt;=$B$14,"exceeded",IF(B27=0,"not reached",$B$12+($B$14-$B$29)/B27))</f>
        <v/>
      </c>
    </row>
    <row r="36">
      <c r="A36" s="1" t="inlineStr">
        <is>
          <t>Year c to a-1</t>
        </is>
      </c>
      <c r="B36" s="1" t="inlineStr">
        <is>
          <t>In record (1/0)</t>
        </is>
      </c>
      <c r="C36" s="1" t="inlineStr">
        <is>
          <t>T' used (hm3)</t>
        </is>
      </c>
      <c r="D36" s="1" t="inlineStr">
        <is>
          <t>Cumulative (hm3)</t>
        </is>
      </c>
      <c r="E36" s="1" t="inlineStr">
        <is>
          <t>Year, or +10000 if below Vdead</t>
        </is>
      </c>
    </row>
    <row r="37">
      <c r="A37" t="n">
        <v>2001</v>
      </c>
      <c r="B37">
        <f>COUNTIF($A$19:$A$23,A37)</f>
        <v/>
      </c>
      <c r="C37">
        <f>SUMIF($A$19:$A$23,A37,$C$19:$C$23)+(1-B37)*$B$25</f>
        <v/>
      </c>
      <c r="D37">
        <f>C37</f>
        <v/>
      </c>
      <c r="E37">
        <f>A37+(1-(D37&gt;=$B$14))*10000</f>
        <v/>
      </c>
    </row>
    <row r="38">
      <c r="A38" t="n">
        <v>2002</v>
      </c>
      <c r="B38">
        <f>COUNTIF($A$19:$A$23,A38)</f>
        <v/>
      </c>
      <c r="C38">
        <f>SUMIF($A$19:$A$23,A38,$C$19:$C$23)+(1-B38)*$B$25</f>
        <v/>
      </c>
      <c r="D38">
        <f>D37+C38</f>
        <v/>
      </c>
      <c r="E38">
        <f>A38+(1-(D38&gt;=$B$14))*10000</f>
        <v/>
      </c>
    </row>
    <row r="39">
      <c r="A39" t="n">
        <v>2003</v>
      </c>
      <c r="B39">
        <f>COUNTIF($A$19:$A$23,A39)</f>
        <v/>
      </c>
      <c r="C39">
        <f>SUMIF($A$19:$A$23,A39,$C$19:$C$23)+(1-B39)*$B$25</f>
        <v/>
      </c>
      <c r="D39">
        <f>D38+C39</f>
        <v/>
      </c>
      <c r="E39">
        <f>A39+(1-(D39&gt;=$B$14))*10000</f>
        <v/>
      </c>
    </row>
    <row r="40">
      <c r="A40" t="n">
        <v>2004</v>
      </c>
      <c r="B40">
        <f>COUNTIF($A$19:$A$23,A40)</f>
        <v/>
      </c>
      <c r="C40">
        <f>SUMIF($A$19:$A$23,A40,$C$19:$C$23)+(1-B40)*$B$25</f>
        <v/>
      </c>
      <c r="D40">
        <f>D39+C40</f>
        <v/>
      </c>
      <c r="E40">
        <f>A40+(1-(D40&gt;=$B$14))*10000</f>
        <v/>
      </c>
    </row>
    <row r="41">
      <c r="A41" t="n">
        <v>2005</v>
      </c>
      <c r="B41">
        <f>COUNTIF($A$19:$A$23,A41)</f>
        <v/>
      </c>
      <c r="C41">
        <f>SUMIF($A$19:$A$23,A41,$C$19:$C$23)+(1-B41)*$B$25</f>
        <v/>
      </c>
      <c r="D41">
        <f>D40+C41</f>
        <v/>
      </c>
      <c r="E41">
        <f>A41+(1-(D41&gt;=$B$14))*10000</f>
        <v/>
      </c>
    </row>
    <row r="44">
      <c r="A44" s="1" t="inlineStr">
        <is>
          <t>Rate</t>
        </is>
      </c>
      <c r="B44" s="1" t="inlineStr">
        <is>
          <t>Years after a (k)</t>
        </is>
      </c>
      <c r="C44" s="1" t="inlineStr">
        <is>
          <t>Year a + k</t>
        </is>
      </c>
      <c r="D44" s="1" t="inlineStr">
        <is>
          <t>r (hm3/yr)</t>
        </is>
      </c>
      <c r="E44" s="1" t="inlineStr">
        <is>
          <t>S0 + k r (hm3)</t>
        </is>
      </c>
      <c r="F44" s="1" t="inlineStr">
        <is>
          <t>H(S) (m), limited to the crest</t>
        </is>
      </c>
    </row>
    <row r="45">
      <c r="A45" t="inlineStr">
        <is>
          <t>Mean</t>
        </is>
      </c>
      <c r="B45" t="n">
        <v>0</v>
      </c>
      <c r="C45">
        <f>$B$12+B45</f>
        <v/>
      </c>
      <c r="D45">
        <f>$B$25</f>
        <v/>
      </c>
      <c r="E45">
        <f>$B$29+B45*D45</f>
        <v/>
      </c>
      <c r="F45">
        <f>$B$3+($B$4-$B$3)*(MIN(E45,$B$15)/$B$7)^(1/$B$8)</f>
        <v/>
      </c>
    </row>
    <row r="46">
      <c r="A46" t="inlineStr">
        <is>
          <t>Mean</t>
        </is>
      </c>
      <c r="B46" t="n">
        <v>1</v>
      </c>
      <c r="C46">
        <f>$B$12+B46</f>
        <v/>
      </c>
      <c r="D46">
        <f>$B$25</f>
        <v/>
      </c>
      <c r="E46">
        <f>$B$29+B46*D46</f>
        <v/>
      </c>
      <c r="F46">
        <f>$B$3+($B$4-$B$3)*(MIN(E46,$B$15)/$B$7)^(1/$B$8)</f>
        <v/>
      </c>
    </row>
    <row r="47">
      <c r="A47" t="inlineStr">
        <is>
          <t>Mean</t>
        </is>
      </c>
      <c r="B47" t="n">
        <v>10</v>
      </c>
      <c r="C47">
        <f>$B$12+B47</f>
        <v/>
      </c>
      <c r="D47">
        <f>$B$25</f>
        <v/>
      </c>
      <c r="E47">
        <f>$B$29+B47*D47</f>
        <v/>
      </c>
      <c r="F47">
        <f>$B$3+($B$4-$B$3)*(MIN(E47,$B$15)/$B$7)^(1/$B$8)</f>
        <v/>
      </c>
    </row>
    <row r="48">
      <c r="A48" t="inlineStr">
        <is>
          <t>Mean</t>
        </is>
      </c>
      <c r="B48" t="n">
        <v>50</v>
      </c>
      <c r="C48">
        <f>$B$12+B48</f>
        <v/>
      </c>
      <c r="D48">
        <f>$B$25</f>
        <v/>
      </c>
      <c r="E48">
        <f>$B$29+B48*D48</f>
        <v/>
      </c>
      <c r="F48">
        <f>$B$3+($B$4-$B$3)*(MIN(E48,$B$15)/$B$7)^(1/$B$8)</f>
        <v/>
      </c>
    </row>
    <row r="49">
      <c r="A49" t="inlineStr">
        <is>
          <t>Mean</t>
        </is>
      </c>
      <c r="B49" t="n">
        <v>100</v>
      </c>
      <c r="C49">
        <f>$B$12+B49</f>
        <v/>
      </c>
      <c r="D49">
        <f>$B$25</f>
        <v/>
      </c>
      <c r="E49">
        <f>$B$29+B49*D49</f>
        <v/>
      </c>
      <c r="F49">
        <f>$B$3+($B$4-$B$3)*(MIN(E49,$B$15)/$B$7)^(1/$B$8)</f>
        <v/>
      </c>
    </row>
    <row r="50">
      <c r="A50" t="inlineStr">
        <is>
          <t>Min</t>
        </is>
      </c>
      <c r="B50" t="n">
        <v>0</v>
      </c>
      <c r="C50">
        <f>$B$12+B50</f>
        <v/>
      </c>
      <c r="D50">
        <f>$B$26</f>
        <v/>
      </c>
      <c r="E50">
        <f>$B$29+B50*D50</f>
        <v/>
      </c>
      <c r="F50">
        <f>$B$3+($B$4-$B$3)*(MIN(E50,$B$15)/$B$7)^(1/$B$8)</f>
        <v/>
      </c>
    </row>
    <row r="51">
      <c r="A51" t="inlineStr">
        <is>
          <t>Min</t>
        </is>
      </c>
      <c r="B51" t="n">
        <v>1</v>
      </c>
      <c r="C51">
        <f>$B$12+B51</f>
        <v/>
      </c>
      <c r="D51">
        <f>$B$26</f>
        <v/>
      </c>
      <c r="E51">
        <f>$B$29+B51*D51</f>
        <v/>
      </c>
      <c r="F51">
        <f>$B$3+($B$4-$B$3)*(MIN(E51,$B$15)/$B$7)^(1/$B$8)</f>
        <v/>
      </c>
    </row>
    <row r="52">
      <c r="A52" t="inlineStr">
        <is>
          <t>Min</t>
        </is>
      </c>
      <c r="B52" t="n">
        <v>10</v>
      </c>
      <c r="C52">
        <f>$B$12+B52</f>
        <v/>
      </c>
      <c r="D52">
        <f>$B$26</f>
        <v/>
      </c>
      <c r="E52">
        <f>$B$29+B52*D52</f>
        <v/>
      </c>
      <c r="F52">
        <f>$B$3+($B$4-$B$3)*(MIN(E52,$B$15)/$B$7)^(1/$B$8)</f>
        <v/>
      </c>
    </row>
    <row r="53">
      <c r="A53" t="inlineStr">
        <is>
          <t>Min</t>
        </is>
      </c>
      <c r="B53" t="n">
        <v>50</v>
      </c>
      <c r="C53">
        <f>$B$12+B53</f>
        <v/>
      </c>
      <c r="D53">
        <f>$B$26</f>
        <v/>
      </c>
      <c r="E53">
        <f>$B$29+B53*D53</f>
        <v/>
      </c>
      <c r="F53">
        <f>$B$3+($B$4-$B$3)*(MIN(E53,$B$15)/$B$7)^(1/$B$8)</f>
        <v/>
      </c>
    </row>
    <row r="54">
      <c r="A54" t="inlineStr">
        <is>
          <t>Min</t>
        </is>
      </c>
      <c r="B54" t="n">
        <v>100</v>
      </c>
      <c r="C54">
        <f>$B$12+B54</f>
        <v/>
      </c>
      <c r="D54">
        <f>$B$26</f>
        <v/>
      </c>
      <c r="E54">
        <f>$B$29+B54*D54</f>
        <v/>
      </c>
      <c r="F54">
        <f>$B$3+($B$4-$B$3)*(MIN(E54,$B$15)/$B$7)^(1/$B$8)</f>
        <v/>
      </c>
    </row>
    <row r="55">
      <c r="A55" t="inlineStr">
        <is>
          <t>Max</t>
        </is>
      </c>
      <c r="B55" t="n">
        <v>0</v>
      </c>
      <c r="C55">
        <f>$B$12+B55</f>
        <v/>
      </c>
      <c r="D55">
        <f>$B$27</f>
        <v/>
      </c>
      <c r="E55">
        <f>$B$29+B55*D55</f>
        <v/>
      </c>
      <c r="F55">
        <f>$B$3+($B$4-$B$3)*(MIN(E55,$B$15)/$B$7)^(1/$B$8)</f>
        <v/>
      </c>
    </row>
    <row r="56">
      <c r="A56" t="inlineStr">
        <is>
          <t>Max</t>
        </is>
      </c>
      <c r="B56" t="n">
        <v>1</v>
      </c>
      <c r="C56">
        <f>$B$12+B56</f>
        <v/>
      </c>
      <c r="D56">
        <f>$B$27</f>
        <v/>
      </c>
      <c r="E56">
        <f>$B$29+B56*D56</f>
        <v/>
      </c>
      <c r="F56">
        <f>$B$3+($B$4-$B$3)*(MIN(E56,$B$15)/$B$7)^(1/$B$8)</f>
        <v/>
      </c>
    </row>
    <row r="57">
      <c r="A57" t="inlineStr">
        <is>
          <t>Max</t>
        </is>
      </c>
      <c r="B57" t="n">
        <v>10</v>
      </c>
      <c r="C57">
        <f>$B$12+B57</f>
        <v/>
      </c>
      <c r="D57">
        <f>$B$27</f>
        <v/>
      </c>
      <c r="E57">
        <f>$B$29+B57*D57</f>
        <v/>
      </c>
      <c r="F57">
        <f>$B$3+($B$4-$B$3)*(MIN(E57,$B$15)/$B$7)^(1/$B$8)</f>
        <v/>
      </c>
    </row>
    <row r="58">
      <c r="A58" t="inlineStr">
        <is>
          <t>Max</t>
        </is>
      </c>
      <c r="B58" t="n">
        <v>50</v>
      </c>
      <c r="C58">
        <f>$B$12+B58</f>
        <v/>
      </c>
      <c r="D58">
        <f>$B$27</f>
        <v/>
      </c>
      <c r="E58">
        <f>$B$29+B58*D58</f>
        <v/>
      </c>
      <c r="F58">
        <f>$B$3+($B$4-$B$3)*(MIN(E58,$B$15)/$B$7)^(1/$B$8)</f>
        <v/>
      </c>
    </row>
    <row r="59">
      <c r="A59" t="inlineStr">
        <is>
          <t>Max</t>
        </is>
      </c>
      <c r="B59" t="n">
        <v>100</v>
      </c>
      <c r="C59">
        <f>$B$12+B59</f>
        <v/>
      </c>
      <c r="D59">
        <f>$B$27</f>
        <v/>
      </c>
      <c r="E59">
        <f>$B$29+B59*D59</f>
        <v/>
      </c>
      <c r="F59">
        <f>$B$3+($B$4-$B$3)*(MIN(E59,$B$15)/$B$7)^(1/$B$8)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2026-10-26T11:05:48Z</dcterms:created>
  <dcterms:modified xsi:type="dcterms:W3CDTF">2026-10-26T11:05:48Z</dcterms:modified>
</cp:coreProperties>
</file>