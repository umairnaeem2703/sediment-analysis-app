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3.3 cases" sheetId="1" state="visible" r:id="rId1"/>
    <sheet name="B3.3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2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36" customWidth="1" min="12" max="12"/>
    <col width="34" customWidth="1" min="13" max="13"/>
    <col width="26" customWidth="1" min="14" max="14"/>
    <col width="14" customWidth="1" min="17" max="17"/>
  </cols>
  <sheetData>
    <row r="1">
      <c r="A1" s="1" t="inlineStr">
        <is>
          <t>Case</t>
        </is>
      </c>
      <c r="B1" s="1" t="inlineStr">
        <is>
          <t>Description</t>
        </is>
      </c>
      <c r="C1" s="1" t="inlineStr">
        <is>
          <t>Hbed (m)</t>
        </is>
      </c>
      <c r="D1" s="1" t="inlineStr">
        <is>
          <t>Hmin given (m, blank = shape class)</t>
        </is>
      </c>
      <c r="E1" s="1" t="inlineStr">
        <is>
          <t>Hmax (m)</t>
        </is>
      </c>
      <c r="F1" s="1" t="inlineStr">
        <is>
          <t>Hcrest (m)</t>
        </is>
      </c>
      <c r="G1" s="1" t="inlineStr">
        <is>
          <t>Vactive (hm3)</t>
        </is>
      </c>
      <c r="H1" s="1" t="inlineStr">
        <is>
          <t>Vmax (hm3)</t>
        </is>
      </c>
      <c r="I1" s="1" t="inlineStr">
        <is>
          <t>Shape class</t>
        </is>
      </c>
      <c r="J1" s="1" t="inlineStr">
        <is>
          <t>Shape-class exponent</t>
        </is>
      </c>
      <c r="K1" s="1" t="inlineStr">
        <is>
          <t>Vdead (hm3) = Vmax - Vactive</t>
        </is>
      </c>
      <c r="L1" s="1" t="inlineStr">
        <is>
          <t>m = ln(Vdead/Vmax) / ln((Hmin-Hbed)/(Hmax-Hbed)), or the class exponent</t>
        </is>
      </c>
      <c r="M1" s="1" t="inlineStr">
        <is>
          <t>Hmin used (m) = Hbed + (Hmax-Hbed) (Vdead/Vmax)^(1/m)</t>
        </is>
      </c>
      <c r="N1" s="1" t="inlineStr">
        <is>
          <t>A(Hmax) (km2) = m Vmax / (Hmax-Hbed)</t>
        </is>
      </c>
      <c r="Q1" t="inlineStr">
        <is>
          <t>Shape class</t>
        </is>
      </c>
      <c r="R1" t="inlineStr">
        <is>
          <t>Exponent m</t>
        </is>
      </c>
    </row>
    <row r="2">
      <c r="A2" t="n">
        <v>1</v>
      </c>
      <c r="B2" t="inlineStr">
        <is>
          <t>Kavsakkaya sample, foothill</t>
        </is>
      </c>
      <c r="C2" t="n">
        <v>1063</v>
      </c>
      <c r="E2" t="n">
        <v>1122.3</v>
      </c>
      <c r="F2" t="n">
        <v>1124</v>
      </c>
      <c r="G2" t="n">
        <v>74.09999999999999</v>
      </c>
      <c r="H2" t="n">
        <v>80.8</v>
      </c>
      <c r="I2" t="inlineStr">
        <is>
          <t>foothill</t>
        </is>
      </c>
      <c r="J2">
        <f>IF(I2="","",VLOOKUP(I2,$Q$2:$R$5,2,FALSE))</f>
        <v/>
      </c>
      <c r="K2">
        <f>H2-G2</f>
        <v/>
      </c>
      <c r="L2">
        <f>IF(D2="",J2,LN(K2/H2)/LN((D2-C2)/(E2-C2)))</f>
        <v/>
      </c>
      <c r="M2">
        <f>C2+(E2-C2)*(K2/H2)^(1/L2)</f>
        <v/>
      </c>
      <c r="N2">
        <f>L2*H2/(E2-C2)</f>
        <v/>
      </c>
      <c r="Q2" t="inlineStr">
        <is>
          <t>gorge</t>
        </is>
      </c>
      <c r="R2" t="n">
        <v>1.25</v>
      </c>
    </row>
    <row r="3">
      <c r="A3" t="n">
        <v>2</v>
      </c>
      <c r="B3" t="inlineStr">
        <is>
          <t>Cubuk 1 sample, hill</t>
        </is>
      </c>
      <c r="C3" t="n">
        <v>888</v>
      </c>
      <c r="E3" t="n">
        <v>907.6</v>
      </c>
      <c r="F3" t="n">
        <v>908.6</v>
      </c>
      <c r="G3" t="n">
        <v>5.28</v>
      </c>
      <c r="H3" t="n">
        <v>5.6</v>
      </c>
      <c r="I3" t="inlineStr">
        <is>
          <t>hill</t>
        </is>
      </c>
      <c r="J3">
        <f>IF(I3="","",VLOOKUP(I3,$Q$2:$R$5,2,FALSE))</f>
        <v/>
      </c>
      <c r="K3">
        <f>H3-G3</f>
        <v/>
      </c>
      <c r="L3">
        <f>IF(D3="",J3,LN(K3/H3)/LN((D3-C3)/(E3-C3)))</f>
        <v/>
      </c>
      <c r="M3">
        <f>C3+(E3-C3)*(K3/H3)^(1/L3)</f>
        <v/>
      </c>
      <c r="N3">
        <f>L3*H3/(E3-C3)</f>
        <v/>
      </c>
      <c r="Q3" t="inlineStr">
        <is>
          <t>hill</t>
        </is>
      </c>
      <c r="R3" t="n">
        <v>2</v>
      </c>
    </row>
    <row r="4">
      <c r="A4" t="n">
        <v>3</v>
      </c>
      <c r="B4" t="inlineStr">
        <is>
          <t>Cubuk 2 sample, hill (OI-01)</t>
        </is>
      </c>
      <c r="C4" t="n">
        <v>1110</v>
      </c>
      <c r="E4" t="n">
        <v>1115.3</v>
      </c>
      <c r="F4" t="n">
        <v>1117</v>
      </c>
      <c r="G4" t="n">
        <v>22</v>
      </c>
      <c r="H4" t="n">
        <v>22.4</v>
      </c>
      <c r="I4" t="inlineStr">
        <is>
          <t>hill</t>
        </is>
      </c>
      <c r="J4">
        <f>IF(I4="","",VLOOKUP(I4,$Q$2:$R$5,2,FALSE))</f>
        <v/>
      </c>
      <c r="K4">
        <f>H4-G4</f>
        <v/>
      </c>
      <c r="L4">
        <f>IF(D4="",J4,LN(K4/H4)/LN((D4-C4)/(E4-C4)))</f>
        <v/>
      </c>
      <c r="M4">
        <f>C4+(E4-C4)*(K4/H4)^(1/L4)</f>
        <v/>
      </c>
      <c r="N4">
        <f>L4*H4/(E4-C4)</f>
        <v/>
      </c>
      <c r="Q4" t="inlineStr">
        <is>
          <t>foothill</t>
        </is>
      </c>
      <c r="R4" t="n">
        <v>3</v>
      </c>
    </row>
    <row r="5">
      <c r="A5" t="n">
        <v>4</v>
      </c>
      <c r="B5" t="inlineStr">
        <is>
          <t>Kavsakkaya sample, Hmin given</t>
        </is>
      </c>
      <c r="C5" t="n">
        <v>1063</v>
      </c>
      <c r="D5" t="n">
        <v>1090</v>
      </c>
      <c r="E5" t="n">
        <v>1122.3</v>
      </c>
      <c r="F5" t="n">
        <v>1124</v>
      </c>
      <c r="G5" t="n">
        <v>74.09999999999999</v>
      </c>
      <c r="H5" t="n">
        <v>80.8</v>
      </c>
      <c r="J5">
        <f>IF(I5="","",VLOOKUP(I5,$Q$2:$R$5,2,FALSE))</f>
        <v/>
      </c>
      <c r="K5">
        <f>H5-G5</f>
        <v/>
      </c>
      <c r="L5">
        <f>IF(D5="",J5,LN(K5/H5)/LN((D5-C5)/(E5-C5)))</f>
        <v/>
      </c>
      <c r="M5">
        <f>C5+(E5-C5)*(K5/H5)^(1/L5)</f>
        <v/>
      </c>
      <c r="N5">
        <f>L5*H5/(E5-C5)</f>
        <v/>
      </c>
      <c r="Q5" t="inlineStr">
        <is>
          <t>lake</t>
        </is>
      </c>
      <c r="R5" t="n">
        <v>4</v>
      </c>
    </row>
    <row r="6">
      <c r="A6" t="n">
        <v>5</v>
      </c>
      <c r="B6" t="inlineStr">
        <is>
          <t>Cubuk 1 sample, Hmin given</t>
        </is>
      </c>
      <c r="C6" t="n">
        <v>888</v>
      </c>
      <c r="D6" t="n">
        <v>895</v>
      </c>
      <c r="E6" t="n">
        <v>907.6</v>
      </c>
      <c r="F6" t="n">
        <v>908.6</v>
      </c>
      <c r="G6" t="n">
        <v>5.28</v>
      </c>
      <c r="H6" t="n">
        <v>5.6</v>
      </c>
      <c r="J6">
        <f>IF(I6="","",VLOOKUP(I6,$Q$2:$R$5,2,FALSE))</f>
        <v/>
      </c>
      <c r="K6">
        <f>H6-G6</f>
        <v/>
      </c>
      <c r="L6">
        <f>IF(D6="",J6,LN(K6/H6)/LN((D6-C6)/(E6-C6)))</f>
        <v/>
      </c>
      <c r="M6">
        <f>C6+(E6-C6)*(K6/H6)^(1/L6)</f>
        <v/>
      </c>
      <c r="N6">
        <f>L6*H6/(E6-C6)</f>
        <v/>
      </c>
    </row>
    <row r="7">
      <c r="A7" t="n">
        <v>6</v>
      </c>
      <c r="B7" t="inlineStr">
        <is>
          <t>Round numbers, Hmin gives m = 2</t>
        </is>
      </c>
      <c r="C7" t="n">
        <v>100</v>
      </c>
      <c r="D7" t="n">
        <v>125</v>
      </c>
      <c r="E7" t="n">
        <v>150</v>
      </c>
      <c r="F7" t="n">
        <v>155</v>
      </c>
      <c r="G7" t="n">
        <v>75</v>
      </c>
      <c r="H7" t="n">
        <v>100</v>
      </c>
      <c r="J7">
        <f>IF(I7="","",VLOOKUP(I7,$Q$2:$R$5,2,FALSE))</f>
        <v/>
      </c>
      <c r="K7">
        <f>H7-G7</f>
        <v/>
      </c>
      <c r="L7">
        <f>IF(D7="",J7,LN(K7/H7)/LN((D7-C7)/(E7-C7)))</f>
        <v/>
      </c>
      <c r="M7">
        <f>C7+(E7-C7)*(K7/H7)^(1/L7)</f>
        <v/>
      </c>
      <c r="N7">
        <f>L7*H7/(E7-C7)</f>
        <v/>
      </c>
    </row>
    <row r="8">
      <c r="A8" t="n">
        <v>7</v>
      </c>
      <c r="B8" t="inlineStr">
        <is>
          <t>Round numbers, gorge</t>
        </is>
      </c>
      <c r="C8" t="n">
        <v>0</v>
      </c>
      <c r="E8" t="n">
        <v>10</v>
      </c>
      <c r="F8" t="n">
        <v>12</v>
      </c>
      <c r="G8" t="n">
        <v>90</v>
      </c>
      <c r="H8" t="n">
        <v>100</v>
      </c>
      <c r="I8" t="inlineStr">
        <is>
          <t>gorge</t>
        </is>
      </c>
      <c r="J8">
        <f>IF(I8="","",VLOOKUP(I8,$Q$2:$R$5,2,FALSE))</f>
        <v/>
      </c>
      <c r="K8">
        <f>H8-G8</f>
        <v/>
      </c>
      <c r="L8">
        <f>IF(D8="",J8,LN(K8/H8)/LN((D8-C8)/(E8-C8)))</f>
        <v/>
      </c>
      <c r="M8">
        <f>C8+(E8-C8)*(K8/H8)^(1/L8)</f>
        <v/>
      </c>
      <c r="N8">
        <f>L8*H8/(E8-C8)</f>
        <v/>
      </c>
    </row>
    <row r="9">
      <c r="A9" t="n">
        <v>8</v>
      </c>
      <c r="B9" t="inlineStr">
        <is>
          <t>Round numbers, lake</t>
        </is>
      </c>
      <c r="C9" t="n">
        <v>0</v>
      </c>
      <c r="E9" t="n">
        <v>10</v>
      </c>
      <c r="F9" t="n">
        <v>12</v>
      </c>
      <c r="G9" t="n">
        <v>90</v>
      </c>
      <c r="H9" t="n">
        <v>100</v>
      </c>
      <c r="I9" t="inlineStr">
        <is>
          <t>lake</t>
        </is>
      </c>
      <c r="J9">
        <f>IF(I9="","",VLOOKUP(I9,$Q$2:$R$5,2,FALSE))</f>
        <v/>
      </c>
      <c r="K9">
        <f>H9-G9</f>
        <v/>
      </c>
      <c r="L9">
        <f>IF(D9="",J9,LN(K9/H9)/LN((D9-C9)/(E9-C9)))</f>
        <v/>
      </c>
      <c r="M9">
        <f>C9+(E9-C9)*(K9/H9)^(1/L9)</f>
        <v/>
      </c>
      <c r="N9">
        <f>L9*H9/(E9-C9)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40" customWidth="1" min="4" max="4"/>
    <col width="36" customWidth="1" min="5" max="5"/>
    <col width="42" customWidth="1" min="6" max="6"/>
  </cols>
  <sheetData>
    <row r="1">
      <c r="A1" s="1" t="inlineStr">
        <is>
          <t>Case</t>
        </is>
      </c>
      <c r="B1" s="1" t="inlineStr">
        <is>
          <t>Point</t>
        </is>
      </c>
      <c r="C1" s="1" t="inlineStr">
        <is>
          <t>H (m)</t>
        </is>
      </c>
      <c r="D1" s="1" t="inlineStr">
        <is>
          <t>V (hm3) = Vmax x^m, x = (H-Hbed)/(Hmax-Hbed)</t>
        </is>
      </c>
      <c r="E1" s="1" t="inlineStr">
        <is>
          <t>A (km2) = m Vmax / (Hmax-Hbed) x^(m-1)</t>
        </is>
      </c>
      <c r="F1" s="1" t="inlineStr">
        <is>
          <t>H back from V (m) = Hbed + (Hmax-Hbed) (V/Vmax)^(1/m)</t>
        </is>
      </c>
    </row>
    <row r="2">
      <c r="A2" t="n">
        <v>1</v>
      </c>
      <c r="B2" t="inlineStr">
        <is>
          <t>Hbed</t>
        </is>
      </c>
      <c r="C2">
        <f>'B3.3 cases'!$C$2</f>
        <v/>
      </c>
      <c r="D2">
        <f>'B3.3 cases'!$H$2*((C2-'B3.3 cases'!$C$2)/('B3.3 cases'!$E$2-'B3.3 cases'!$C$2))^'B3.3 cases'!$L$2</f>
        <v/>
      </c>
      <c r="E2">
        <f>'B3.3 cases'!$L$2*'B3.3 cases'!$H$2/('B3.3 cases'!$E$2-'B3.3 cases'!$C$2)*((C2-'B3.3 cases'!$C$2)/('B3.3 cases'!$E$2-'B3.3 cases'!$C$2))^('B3.3 cases'!$L$2-1)</f>
        <v/>
      </c>
      <c r="F2">
        <f>'B3.3 cases'!$C$2+('B3.3 cases'!$E$2-'B3.3 cases'!$C$2)*(D2/'B3.3 cases'!$H$2)^(1/'B3.3 cases'!$L$2)</f>
        <v/>
      </c>
    </row>
    <row r="3">
      <c r="A3" t="n">
        <v>1</v>
      </c>
      <c r="B3" t="inlineStr">
        <is>
          <t>Hmin</t>
        </is>
      </c>
      <c r="C3">
        <f>'B3.3 cases'!$M$2</f>
        <v/>
      </c>
      <c r="D3">
        <f>'B3.3 cases'!$H$2*((C3-'B3.3 cases'!$C$2)/('B3.3 cases'!$E$2-'B3.3 cases'!$C$2))^'B3.3 cases'!$L$2</f>
        <v/>
      </c>
      <c r="E3">
        <f>'B3.3 cases'!$L$2*'B3.3 cases'!$H$2/('B3.3 cases'!$E$2-'B3.3 cases'!$C$2)*((C3-'B3.3 cases'!$C$2)/('B3.3 cases'!$E$2-'B3.3 cases'!$C$2))^('B3.3 cases'!$L$2-1)</f>
        <v/>
      </c>
      <c r="F3">
        <f>'B3.3 cases'!$C$2+('B3.3 cases'!$E$2-'B3.3 cases'!$C$2)*(D3/'B3.3 cases'!$H$2)^(1/'B3.3 cases'!$L$2)</f>
        <v/>
      </c>
    </row>
    <row r="4">
      <c r="A4" t="n">
        <v>1</v>
      </c>
      <c r="B4" t="inlineStr">
        <is>
          <t>Hmid</t>
        </is>
      </c>
      <c r="C4">
        <f>('B3.3 cases'!$C$2+'B3.3 cases'!$E$2)/2</f>
        <v/>
      </c>
      <c r="D4">
        <f>'B3.3 cases'!$H$2*((C4-'B3.3 cases'!$C$2)/('B3.3 cases'!$E$2-'B3.3 cases'!$C$2))^'B3.3 cases'!$L$2</f>
        <v/>
      </c>
      <c r="E4">
        <f>'B3.3 cases'!$L$2*'B3.3 cases'!$H$2/('B3.3 cases'!$E$2-'B3.3 cases'!$C$2)*((C4-'B3.3 cases'!$C$2)/('B3.3 cases'!$E$2-'B3.3 cases'!$C$2))^('B3.3 cases'!$L$2-1)</f>
        <v/>
      </c>
      <c r="F4">
        <f>'B3.3 cases'!$C$2+('B3.3 cases'!$E$2-'B3.3 cases'!$C$2)*(D4/'B3.3 cases'!$H$2)^(1/'B3.3 cases'!$L$2)</f>
        <v/>
      </c>
    </row>
    <row r="5">
      <c r="A5" t="n">
        <v>1</v>
      </c>
      <c r="B5" t="inlineStr">
        <is>
          <t>Hmax</t>
        </is>
      </c>
      <c r="C5">
        <f>'B3.3 cases'!$E$2</f>
        <v/>
      </c>
      <c r="D5">
        <f>'B3.3 cases'!$H$2*((C5-'B3.3 cases'!$C$2)/('B3.3 cases'!$E$2-'B3.3 cases'!$C$2))^'B3.3 cases'!$L$2</f>
        <v/>
      </c>
      <c r="E5">
        <f>'B3.3 cases'!$L$2*'B3.3 cases'!$H$2/('B3.3 cases'!$E$2-'B3.3 cases'!$C$2)*((C5-'B3.3 cases'!$C$2)/('B3.3 cases'!$E$2-'B3.3 cases'!$C$2))^('B3.3 cases'!$L$2-1)</f>
        <v/>
      </c>
      <c r="F5">
        <f>'B3.3 cases'!$C$2+('B3.3 cases'!$E$2-'B3.3 cases'!$C$2)*(D5/'B3.3 cases'!$H$2)^(1/'B3.3 cases'!$L$2)</f>
        <v/>
      </c>
    </row>
    <row r="6">
      <c r="A6" t="n">
        <v>1</v>
      </c>
      <c r="B6" t="inlineStr">
        <is>
          <t>Hcrest</t>
        </is>
      </c>
      <c r="C6">
        <f>'B3.3 cases'!$F$2</f>
        <v/>
      </c>
      <c r="D6">
        <f>'B3.3 cases'!$H$2*((C6-'B3.3 cases'!$C$2)/('B3.3 cases'!$E$2-'B3.3 cases'!$C$2))^'B3.3 cases'!$L$2</f>
        <v/>
      </c>
      <c r="E6">
        <f>'B3.3 cases'!$L$2*'B3.3 cases'!$H$2/('B3.3 cases'!$E$2-'B3.3 cases'!$C$2)*((C6-'B3.3 cases'!$C$2)/('B3.3 cases'!$E$2-'B3.3 cases'!$C$2))^('B3.3 cases'!$L$2-1)</f>
        <v/>
      </c>
      <c r="F6">
        <f>'B3.3 cases'!$C$2+('B3.3 cases'!$E$2-'B3.3 cases'!$C$2)*(D6/'B3.3 cases'!$H$2)^(1/'B3.3 cases'!$L$2)</f>
        <v/>
      </c>
    </row>
    <row r="7">
      <c r="A7" t="n">
        <v>2</v>
      </c>
      <c r="B7" t="inlineStr">
        <is>
          <t>Hbed</t>
        </is>
      </c>
      <c r="C7">
        <f>'B3.3 cases'!$C$3</f>
        <v/>
      </c>
      <c r="D7">
        <f>'B3.3 cases'!$H$3*((C7-'B3.3 cases'!$C$3)/('B3.3 cases'!$E$3-'B3.3 cases'!$C$3))^'B3.3 cases'!$L$3</f>
        <v/>
      </c>
      <c r="E7">
        <f>'B3.3 cases'!$L$3*'B3.3 cases'!$H$3/('B3.3 cases'!$E$3-'B3.3 cases'!$C$3)*((C7-'B3.3 cases'!$C$3)/('B3.3 cases'!$E$3-'B3.3 cases'!$C$3))^('B3.3 cases'!$L$3-1)</f>
        <v/>
      </c>
      <c r="F7">
        <f>'B3.3 cases'!$C$3+('B3.3 cases'!$E$3-'B3.3 cases'!$C$3)*(D7/'B3.3 cases'!$H$3)^(1/'B3.3 cases'!$L$3)</f>
        <v/>
      </c>
    </row>
    <row r="8">
      <c r="A8" t="n">
        <v>2</v>
      </c>
      <c r="B8" t="inlineStr">
        <is>
          <t>Hmin</t>
        </is>
      </c>
      <c r="C8">
        <f>'B3.3 cases'!$M$3</f>
        <v/>
      </c>
      <c r="D8">
        <f>'B3.3 cases'!$H$3*((C8-'B3.3 cases'!$C$3)/('B3.3 cases'!$E$3-'B3.3 cases'!$C$3))^'B3.3 cases'!$L$3</f>
        <v/>
      </c>
      <c r="E8">
        <f>'B3.3 cases'!$L$3*'B3.3 cases'!$H$3/('B3.3 cases'!$E$3-'B3.3 cases'!$C$3)*((C8-'B3.3 cases'!$C$3)/('B3.3 cases'!$E$3-'B3.3 cases'!$C$3))^('B3.3 cases'!$L$3-1)</f>
        <v/>
      </c>
      <c r="F8">
        <f>'B3.3 cases'!$C$3+('B3.3 cases'!$E$3-'B3.3 cases'!$C$3)*(D8/'B3.3 cases'!$H$3)^(1/'B3.3 cases'!$L$3)</f>
        <v/>
      </c>
    </row>
    <row r="9">
      <c r="A9" t="n">
        <v>2</v>
      </c>
      <c r="B9" t="inlineStr">
        <is>
          <t>Hmid</t>
        </is>
      </c>
      <c r="C9">
        <f>('B3.3 cases'!$C$3+'B3.3 cases'!$E$3)/2</f>
        <v/>
      </c>
      <c r="D9">
        <f>'B3.3 cases'!$H$3*((C9-'B3.3 cases'!$C$3)/('B3.3 cases'!$E$3-'B3.3 cases'!$C$3))^'B3.3 cases'!$L$3</f>
        <v/>
      </c>
      <c r="E9">
        <f>'B3.3 cases'!$L$3*'B3.3 cases'!$H$3/('B3.3 cases'!$E$3-'B3.3 cases'!$C$3)*((C9-'B3.3 cases'!$C$3)/('B3.3 cases'!$E$3-'B3.3 cases'!$C$3))^('B3.3 cases'!$L$3-1)</f>
        <v/>
      </c>
      <c r="F9">
        <f>'B3.3 cases'!$C$3+('B3.3 cases'!$E$3-'B3.3 cases'!$C$3)*(D9/'B3.3 cases'!$H$3)^(1/'B3.3 cases'!$L$3)</f>
        <v/>
      </c>
    </row>
    <row r="10">
      <c r="A10" t="n">
        <v>2</v>
      </c>
      <c r="B10" t="inlineStr">
        <is>
          <t>Hmax</t>
        </is>
      </c>
      <c r="C10">
        <f>'B3.3 cases'!$E$3</f>
        <v/>
      </c>
      <c r="D10">
        <f>'B3.3 cases'!$H$3*((C10-'B3.3 cases'!$C$3)/('B3.3 cases'!$E$3-'B3.3 cases'!$C$3))^'B3.3 cases'!$L$3</f>
        <v/>
      </c>
      <c r="E10">
        <f>'B3.3 cases'!$L$3*'B3.3 cases'!$H$3/('B3.3 cases'!$E$3-'B3.3 cases'!$C$3)*((C10-'B3.3 cases'!$C$3)/('B3.3 cases'!$E$3-'B3.3 cases'!$C$3))^('B3.3 cases'!$L$3-1)</f>
        <v/>
      </c>
      <c r="F10">
        <f>'B3.3 cases'!$C$3+('B3.3 cases'!$E$3-'B3.3 cases'!$C$3)*(D10/'B3.3 cases'!$H$3)^(1/'B3.3 cases'!$L$3)</f>
        <v/>
      </c>
    </row>
    <row r="11">
      <c r="A11" t="n">
        <v>2</v>
      </c>
      <c r="B11" t="inlineStr">
        <is>
          <t>Hcrest</t>
        </is>
      </c>
      <c r="C11">
        <f>'B3.3 cases'!$F$3</f>
        <v/>
      </c>
      <c r="D11">
        <f>'B3.3 cases'!$H$3*((C11-'B3.3 cases'!$C$3)/('B3.3 cases'!$E$3-'B3.3 cases'!$C$3))^'B3.3 cases'!$L$3</f>
        <v/>
      </c>
      <c r="E11">
        <f>'B3.3 cases'!$L$3*'B3.3 cases'!$H$3/('B3.3 cases'!$E$3-'B3.3 cases'!$C$3)*((C11-'B3.3 cases'!$C$3)/('B3.3 cases'!$E$3-'B3.3 cases'!$C$3))^('B3.3 cases'!$L$3-1)</f>
        <v/>
      </c>
      <c r="F11">
        <f>'B3.3 cases'!$C$3+('B3.3 cases'!$E$3-'B3.3 cases'!$C$3)*(D11/'B3.3 cases'!$H$3)^(1/'B3.3 cases'!$L$3)</f>
        <v/>
      </c>
    </row>
    <row r="12">
      <c r="A12" t="n">
        <v>3</v>
      </c>
      <c r="B12" t="inlineStr">
        <is>
          <t>Hbed</t>
        </is>
      </c>
      <c r="C12">
        <f>'B3.3 cases'!$C$4</f>
        <v/>
      </c>
      <c r="D12">
        <f>'B3.3 cases'!$H$4*((C12-'B3.3 cases'!$C$4)/('B3.3 cases'!$E$4-'B3.3 cases'!$C$4))^'B3.3 cases'!$L$4</f>
        <v/>
      </c>
      <c r="E12">
        <f>'B3.3 cases'!$L$4*'B3.3 cases'!$H$4/('B3.3 cases'!$E$4-'B3.3 cases'!$C$4)*((C12-'B3.3 cases'!$C$4)/('B3.3 cases'!$E$4-'B3.3 cases'!$C$4))^('B3.3 cases'!$L$4-1)</f>
        <v/>
      </c>
      <c r="F12">
        <f>'B3.3 cases'!$C$4+('B3.3 cases'!$E$4-'B3.3 cases'!$C$4)*(D12/'B3.3 cases'!$H$4)^(1/'B3.3 cases'!$L$4)</f>
        <v/>
      </c>
    </row>
    <row r="13">
      <c r="A13" t="n">
        <v>3</v>
      </c>
      <c r="B13" t="inlineStr">
        <is>
          <t>Hmin</t>
        </is>
      </c>
      <c r="C13">
        <f>'B3.3 cases'!$M$4</f>
        <v/>
      </c>
      <c r="D13">
        <f>'B3.3 cases'!$H$4*((C13-'B3.3 cases'!$C$4)/('B3.3 cases'!$E$4-'B3.3 cases'!$C$4))^'B3.3 cases'!$L$4</f>
        <v/>
      </c>
      <c r="E13">
        <f>'B3.3 cases'!$L$4*'B3.3 cases'!$H$4/('B3.3 cases'!$E$4-'B3.3 cases'!$C$4)*((C13-'B3.3 cases'!$C$4)/('B3.3 cases'!$E$4-'B3.3 cases'!$C$4))^('B3.3 cases'!$L$4-1)</f>
        <v/>
      </c>
      <c r="F13">
        <f>'B3.3 cases'!$C$4+('B3.3 cases'!$E$4-'B3.3 cases'!$C$4)*(D13/'B3.3 cases'!$H$4)^(1/'B3.3 cases'!$L$4)</f>
        <v/>
      </c>
    </row>
    <row r="14">
      <c r="A14" t="n">
        <v>3</v>
      </c>
      <c r="B14" t="inlineStr">
        <is>
          <t>Hmid</t>
        </is>
      </c>
      <c r="C14">
        <f>('B3.3 cases'!$C$4+'B3.3 cases'!$E$4)/2</f>
        <v/>
      </c>
      <c r="D14">
        <f>'B3.3 cases'!$H$4*((C14-'B3.3 cases'!$C$4)/('B3.3 cases'!$E$4-'B3.3 cases'!$C$4))^'B3.3 cases'!$L$4</f>
        <v/>
      </c>
      <c r="E14">
        <f>'B3.3 cases'!$L$4*'B3.3 cases'!$H$4/('B3.3 cases'!$E$4-'B3.3 cases'!$C$4)*((C14-'B3.3 cases'!$C$4)/('B3.3 cases'!$E$4-'B3.3 cases'!$C$4))^('B3.3 cases'!$L$4-1)</f>
        <v/>
      </c>
      <c r="F14">
        <f>'B3.3 cases'!$C$4+('B3.3 cases'!$E$4-'B3.3 cases'!$C$4)*(D14/'B3.3 cases'!$H$4)^(1/'B3.3 cases'!$L$4)</f>
        <v/>
      </c>
    </row>
    <row r="15">
      <c r="A15" t="n">
        <v>3</v>
      </c>
      <c r="B15" t="inlineStr">
        <is>
          <t>Hmax</t>
        </is>
      </c>
      <c r="C15">
        <f>'B3.3 cases'!$E$4</f>
        <v/>
      </c>
      <c r="D15">
        <f>'B3.3 cases'!$H$4*((C15-'B3.3 cases'!$C$4)/('B3.3 cases'!$E$4-'B3.3 cases'!$C$4))^'B3.3 cases'!$L$4</f>
        <v/>
      </c>
      <c r="E15">
        <f>'B3.3 cases'!$L$4*'B3.3 cases'!$H$4/('B3.3 cases'!$E$4-'B3.3 cases'!$C$4)*((C15-'B3.3 cases'!$C$4)/('B3.3 cases'!$E$4-'B3.3 cases'!$C$4))^('B3.3 cases'!$L$4-1)</f>
        <v/>
      </c>
      <c r="F15">
        <f>'B3.3 cases'!$C$4+('B3.3 cases'!$E$4-'B3.3 cases'!$C$4)*(D15/'B3.3 cases'!$H$4)^(1/'B3.3 cases'!$L$4)</f>
        <v/>
      </c>
    </row>
    <row r="16">
      <c r="A16" t="n">
        <v>3</v>
      </c>
      <c r="B16" t="inlineStr">
        <is>
          <t>Hcrest</t>
        </is>
      </c>
      <c r="C16">
        <f>'B3.3 cases'!$F$4</f>
        <v/>
      </c>
      <c r="D16">
        <f>'B3.3 cases'!$H$4*((C16-'B3.3 cases'!$C$4)/('B3.3 cases'!$E$4-'B3.3 cases'!$C$4))^'B3.3 cases'!$L$4</f>
        <v/>
      </c>
      <c r="E16">
        <f>'B3.3 cases'!$L$4*'B3.3 cases'!$H$4/('B3.3 cases'!$E$4-'B3.3 cases'!$C$4)*((C16-'B3.3 cases'!$C$4)/('B3.3 cases'!$E$4-'B3.3 cases'!$C$4))^('B3.3 cases'!$L$4-1)</f>
        <v/>
      </c>
      <c r="F16">
        <f>'B3.3 cases'!$C$4+('B3.3 cases'!$E$4-'B3.3 cases'!$C$4)*(D16/'B3.3 cases'!$H$4)^(1/'B3.3 cases'!$L$4)</f>
        <v/>
      </c>
    </row>
    <row r="17">
      <c r="A17" t="n">
        <v>4</v>
      </c>
      <c r="B17" t="inlineStr">
        <is>
          <t>Hbed</t>
        </is>
      </c>
      <c r="C17">
        <f>'B3.3 cases'!$C$5</f>
        <v/>
      </c>
      <c r="D17">
        <f>'B3.3 cases'!$H$5*((C17-'B3.3 cases'!$C$5)/('B3.3 cases'!$E$5-'B3.3 cases'!$C$5))^'B3.3 cases'!$L$5</f>
        <v/>
      </c>
      <c r="E17">
        <f>'B3.3 cases'!$L$5*'B3.3 cases'!$H$5/('B3.3 cases'!$E$5-'B3.3 cases'!$C$5)*((C17-'B3.3 cases'!$C$5)/('B3.3 cases'!$E$5-'B3.3 cases'!$C$5))^('B3.3 cases'!$L$5-1)</f>
        <v/>
      </c>
      <c r="F17">
        <f>'B3.3 cases'!$C$5+('B3.3 cases'!$E$5-'B3.3 cases'!$C$5)*(D17/'B3.3 cases'!$H$5)^(1/'B3.3 cases'!$L$5)</f>
        <v/>
      </c>
    </row>
    <row r="18">
      <c r="A18" t="n">
        <v>4</v>
      </c>
      <c r="B18" t="inlineStr">
        <is>
          <t>Hmin</t>
        </is>
      </c>
      <c r="C18">
        <f>'B3.3 cases'!$M$5</f>
        <v/>
      </c>
      <c r="D18">
        <f>'B3.3 cases'!$H$5*((C18-'B3.3 cases'!$C$5)/('B3.3 cases'!$E$5-'B3.3 cases'!$C$5))^'B3.3 cases'!$L$5</f>
        <v/>
      </c>
      <c r="E18">
        <f>'B3.3 cases'!$L$5*'B3.3 cases'!$H$5/('B3.3 cases'!$E$5-'B3.3 cases'!$C$5)*((C18-'B3.3 cases'!$C$5)/('B3.3 cases'!$E$5-'B3.3 cases'!$C$5))^('B3.3 cases'!$L$5-1)</f>
        <v/>
      </c>
      <c r="F18">
        <f>'B3.3 cases'!$C$5+('B3.3 cases'!$E$5-'B3.3 cases'!$C$5)*(D18/'B3.3 cases'!$H$5)^(1/'B3.3 cases'!$L$5)</f>
        <v/>
      </c>
    </row>
    <row r="19">
      <c r="A19" t="n">
        <v>4</v>
      </c>
      <c r="B19" t="inlineStr">
        <is>
          <t>Hmid</t>
        </is>
      </c>
      <c r="C19">
        <f>('B3.3 cases'!$C$5+'B3.3 cases'!$E$5)/2</f>
        <v/>
      </c>
      <c r="D19">
        <f>'B3.3 cases'!$H$5*((C19-'B3.3 cases'!$C$5)/('B3.3 cases'!$E$5-'B3.3 cases'!$C$5))^'B3.3 cases'!$L$5</f>
        <v/>
      </c>
      <c r="E19">
        <f>'B3.3 cases'!$L$5*'B3.3 cases'!$H$5/('B3.3 cases'!$E$5-'B3.3 cases'!$C$5)*((C19-'B3.3 cases'!$C$5)/('B3.3 cases'!$E$5-'B3.3 cases'!$C$5))^('B3.3 cases'!$L$5-1)</f>
        <v/>
      </c>
      <c r="F19">
        <f>'B3.3 cases'!$C$5+('B3.3 cases'!$E$5-'B3.3 cases'!$C$5)*(D19/'B3.3 cases'!$H$5)^(1/'B3.3 cases'!$L$5)</f>
        <v/>
      </c>
    </row>
    <row r="20">
      <c r="A20" t="n">
        <v>4</v>
      </c>
      <c r="B20" t="inlineStr">
        <is>
          <t>Hmax</t>
        </is>
      </c>
      <c r="C20">
        <f>'B3.3 cases'!$E$5</f>
        <v/>
      </c>
      <c r="D20">
        <f>'B3.3 cases'!$H$5*((C20-'B3.3 cases'!$C$5)/('B3.3 cases'!$E$5-'B3.3 cases'!$C$5))^'B3.3 cases'!$L$5</f>
        <v/>
      </c>
      <c r="E20">
        <f>'B3.3 cases'!$L$5*'B3.3 cases'!$H$5/('B3.3 cases'!$E$5-'B3.3 cases'!$C$5)*((C20-'B3.3 cases'!$C$5)/('B3.3 cases'!$E$5-'B3.3 cases'!$C$5))^('B3.3 cases'!$L$5-1)</f>
        <v/>
      </c>
      <c r="F20">
        <f>'B3.3 cases'!$C$5+('B3.3 cases'!$E$5-'B3.3 cases'!$C$5)*(D20/'B3.3 cases'!$H$5)^(1/'B3.3 cases'!$L$5)</f>
        <v/>
      </c>
    </row>
    <row r="21">
      <c r="A21" t="n">
        <v>4</v>
      </c>
      <c r="B21" t="inlineStr">
        <is>
          <t>Hcrest</t>
        </is>
      </c>
      <c r="C21">
        <f>'B3.3 cases'!$F$5</f>
        <v/>
      </c>
      <c r="D21">
        <f>'B3.3 cases'!$H$5*((C21-'B3.3 cases'!$C$5)/('B3.3 cases'!$E$5-'B3.3 cases'!$C$5))^'B3.3 cases'!$L$5</f>
        <v/>
      </c>
      <c r="E21">
        <f>'B3.3 cases'!$L$5*'B3.3 cases'!$H$5/('B3.3 cases'!$E$5-'B3.3 cases'!$C$5)*((C21-'B3.3 cases'!$C$5)/('B3.3 cases'!$E$5-'B3.3 cases'!$C$5))^('B3.3 cases'!$L$5-1)</f>
        <v/>
      </c>
      <c r="F21">
        <f>'B3.3 cases'!$C$5+('B3.3 cases'!$E$5-'B3.3 cases'!$C$5)*(D21/'B3.3 cases'!$H$5)^(1/'B3.3 cases'!$L$5)</f>
        <v/>
      </c>
    </row>
    <row r="22">
      <c r="A22" t="n">
        <v>5</v>
      </c>
      <c r="B22" t="inlineStr">
        <is>
          <t>Hbed</t>
        </is>
      </c>
      <c r="C22">
        <f>'B3.3 cases'!$C$6</f>
        <v/>
      </c>
      <c r="D22">
        <f>'B3.3 cases'!$H$6*((C22-'B3.3 cases'!$C$6)/('B3.3 cases'!$E$6-'B3.3 cases'!$C$6))^'B3.3 cases'!$L$6</f>
        <v/>
      </c>
      <c r="E22">
        <f>'B3.3 cases'!$L$6*'B3.3 cases'!$H$6/('B3.3 cases'!$E$6-'B3.3 cases'!$C$6)*((C22-'B3.3 cases'!$C$6)/('B3.3 cases'!$E$6-'B3.3 cases'!$C$6))^('B3.3 cases'!$L$6-1)</f>
        <v/>
      </c>
      <c r="F22">
        <f>'B3.3 cases'!$C$6+('B3.3 cases'!$E$6-'B3.3 cases'!$C$6)*(D22/'B3.3 cases'!$H$6)^(1/'B3.3 cases'!$L$6)</f>
        <v/>
      </c>
    </row>
    <row r="23">
      <c r="A23" t="n">
        <v>5</v>
      </c>
      <c r="B23" t="inlineStr">
        <is>
          <t>Hmin</t>
        </is>
      </c>
      <c r="C23">
        <f>'B3.3 cases'!$M$6</f>
        <v/>
      </c>
      <c r="D23">
        <f>'B3.3 cases'!$H$6*((C23-'B3.3 cases'!$C$6)/('B3.3 cases'!$E$6-'B3.3 cases'!$C$6))^'B3.3 cases'!$L$6</f>
        <v/>
      </c>
      <c r="E23">
        <f>'B3.3 cases'!$L$6*'B3.3 cases'!$H$6/('B3.3 cases'!$E$6-'B3.3 cases'!$C$6)*((C23-'B3.3 cases'!$C$6)/('B3.3 cases'!$E$6-'B3.3 cases'!$C$6))^('B3.3 cases'!$L$6-1)</f>
        <v/>
      </c>
      <c r="F23">
        <f>'B3.3 cases'!$C$6+('B3.3 cases'!$E$6-'B3.3 cases'!$C$6)*(D23/'B3.3 cases'!$H$6)^(1/'B3.3 cases'!$L$6)</f>
        <v/>
      </c>
    </row>
    <row r="24">
      <c r="A24" t="n">
        <v>5</v>
      </c>
      <c r="B24" t="inlineStr">
        <is>
          <t>Hmid</t>
        </is>
      </c>
      <c r="C24">
        <f>('B3.3 cases'!$C$6+'B3.3 cases'!$E$6)/2</f>
        <v/>
      </c>
      <c r="D24">
        <f>'B3.3 cases'!$H$6*((C24-'B3.3 cases'!$C$6)/('B3.3 cases'!$E$6-'B3.3 cases'!$C$6))^'B3.3 cases'!$L$6</f>
        <v/>
      </c>
      <c r="E24">
        <f>'B3.3 cases'!$L$6*'B3.3 cases'!$H$6/('B3.3 cases'!$E$6-'B3.3 cases'!$C$6)*((C24-'B3.3 cases'!$C$6)/('B3.3 cases'!$E$6-'B3.3 cases'!$C$6))^('B3.3 cases'!$L$6-1)</f>
        <v/>
      </c>
      <c r="F24">
        <f>'B3.3 cases'!$C$6+('B3.3 cases'!$E$6-'B3.3 cases'!$C$6)*(D24/'B3.3 cases'!$H$6)^(1/'B3.3 cases'!$L$6)</f>
        <v/>
      </c>
    </row>
    <row r="25">
      <c r="A25" t="n">
        <v>5</v>
      </c>
      <c r="B25" t="inlineStr">
        <is>
          <t>Hmax</t>
        </is>
      </c>
      <c r="C25">
        <f>'B3.3 cases'!$E$6</f>
        <v/>
      </c>
      <c r="D25">
        <f>'B3.3 cases'!$H$6*((C25-'B3.3 cases'!$C$6)/('B3.3 cases'!$E$6-'B3.3 cases'!$C$6))^'B3.3 cases'!$L$6</f>
        <v/>
      </c>
      <c r="E25">
        <f>'B3.3 cases'!$L$6*'B3.3 cases'!$H$6/('B3.3 cases'!$E$6-'B3.3 cases'!$C$6)*((C25-'B3.3 cases'!$C$6)/('B3.3 cases'!$E$6-'B3.3 cases'!$C$6))^('B3.3 cases'!$L$6-1)</f>
        <v/>
      </c>
      <c r="F25">
        <f>'B3.3 cases'!$C$6+('B3.3 cases'!$E$6-'B3.3 cases'!$C$6)*(D25/'B3.3 cases'!$H$6)^(1/'B3.3 cases'!$L$6)</f>
        <v/>
      </c>
    </row>
    <row r="26">
      <c r="A26" t="n">
        <v>5</v>
      </c>
      <c r="B26" t="inlineStr">
        <is>
          <t>Hcrest</t>
        </is>
      </c>
      <c r="C26">
        <f>'B3.3 cases'!$F$6</f>
        <v/>
      </c>
      <c r="D26">
        <f>'B3.3 cases'!$H$6*((C26-'B3.3 cases'!$C$6)/('B3.3 cases'!$E$6-'B3.3 cases'!$C$6))^'B3.3 cases'!$L$6</f>
        <v/>
      </c>
      <c r="E26">
        <f>'B3.3 cases'!$L$6*'B3.3 cases'!$H$6/('B3.3 cases'!$E$6-'B3.3 cases'!$C$6)*((C26-'B3.3 cases'!$C$6)/('B3.3 cases'!$E$6-'B3.3 cases'!$C$6))^('B3.3 cases'!$L$6-1)</f>
        <v/>
      </c>
      <c r="F26">
        <f>'B3.3 cases'!$C$6+('B3.3 cases'!$E$6-'B3.3 cases'!$C$6)*(D26/'B3.3 cases'!$H$6)^(1/'B3.3 cases'!$L$6)</f>
        <v/>
      </c>
    </row>
    <row r="27">
      <c r="A27" t="n">
        <v>6</v>
      </c>
      <c r="B27" t="inlineStr">
        <is>
          <t>Hbed</t>
        </is>
      </c>
      <c r="C27">
        <f>'B3.3 cases'!$C$7</f>
        <v/>
      </c>
      <c r="D27">
        <f>'B3.3 cases'!$H$7*((C27-'B3.3 cases'!$C$7)/('B3.3 cases'!$E$7-'B3.3 cases'!$C$7))^'B3.3 cases'!$L$7</f>
        <v/>
      </c>
      <c r="E27">
        <f>'B3.3 cases'!$L$7*'B3.3 cases'!$H$7/('B3.3 cases'!$E$7-'B3.3 cases'!$C$7)*((C27-'B3.3 cases'!$C$7)/('B3.3 cases'!$E$7-'B3.3 cases'!$C$7))^('B3.3 cases'!$L$7-1)</f>
        <v/>
      </c>
      <c r="F27">
        <f>'B3.3 cases'!$C$7+('B3.3 cases'!$E$7-'B3.3 cases'!$C$7)*(D27/'B3.3 cases'!$H$7)^(1/'B3.3 cases'!$L$7)</f>
        <v/>
      </c>
    </row>
    <row r="28">
      <c r="A28" t="n">
        <v>6</v>
      </c>
      <c r="B28" t="inlineStr">
        <is>
          <t>Hmin</t>
        </is>
      </c>
      <c r="C28">
        <f>'B3.3 cases'!$M$7</f>
        <v/>
      </c>
      <c r="D28">
        <f>'B3.3 cases'!$H$7*((C28-'B3.3 cases'!$C$7)/('B3.3 cases'!$E$7-'B3.3 cases'!$C$7))^'B3.3 cases'!$L$7</f>
        <v/>
      </c>
      <c r="E28">
        <f>'B3.3 cases'!$L$7*'B3.3 cases'!$H$7/('B3.3 cases'!$E$7-'B3.3 cases'!$C$7)*((C28-'B3.3 cases'!$C$7)/('B3.3 cases'!$E$7-'B3.3 cases'!$C$7))^('B3.3 cases'!$L$7-1)</f>
        <v/>
      </c>
      <c r="F28">
        <f>'B3.3 cases'!$C$7+('B3.3 cases'!$E$7-'B3.3 cases'!$C$7)*(D28/'B3.3 cases'!$H$7)^(1/'B3.3 cases'!$L$7)</f>
        <v/>
      </c>
    </row>
    <row r="29">
      <c r="A29" t="n">
        <v>6</v>
      </c>
      <c r="B29" t="inlineStr">
        <is>
          <t>Hmid</t>
        </is>
      </c>
      <c r="C29">
        <f>('B3.3 cases'!$C$7+'B3.3 cases'!$E$7)/2</f>
        <v/>
      </c>
      <c r="D29">
        <f>'B3.3 cases'!$H$7*((C29-'B3.3 cases'!$C$7)/('B3.3 cases'!$E$7-'B3.3 cases'!$C$7))^'B3.3 cases'!$L$7</f>
        <v/>
      </c>
      <c r="E29">
        <f>'B3.3 cases'!$L$7*'B3.3 cases'!$H$7/('B3.3 cases'!$E$7-'B3.3 cases'!$C$7)*((C29-'B3.3 cases'!$C$7)/('B3.3 cases'!$E$7-'B3.3 cases'!$C$7))^('B3.3 cases'!$L$7-1)</f>
        <v/>
      </c>
      <c r="F29">
        <f>'B3.3 cases'!$C$7+('B3.3 cases'!$E$7-'B3.3 cases'!$C$7)*(D29/'B3.3 cases'!$H$7)^(1/'B3.3 cases'!$L$7)</f>
        <v/>
      </c>
    </row>
    <row r="30">
      <c r="A30" t="n">
        <v>6</v>
      </c>
      <c r="B30" t="inlineStr">
        <is>
          <t>Hmax</t>
        </is>
      </c>
      <c r="C30">
        <f>'B3.3 cases'!$E$7</f>
        <v/>
      </c>
      <c r="D30">
        <f>'B3.3 cases'!$H$7*((C30-'B3.3 cases'!$C$7)/('B3.3 cases'!$E$7-'B3.3 cases'!$C$7))^'B3.3 cases'!$L$7</f>
        <v/>
      </c>
      <c r="E30">
        <f>'B3.3 cases'!$L$7*'B3.3 cases'!$H$7/('B3.3 cases'!$E$7-'B3.3 cases'!$C$7)*((C30-'B3.3 cases'!$C$7)/('B3.3 cases'!$E$7-'B3.3 cases'!$C$7))^('B3.3 cases'!$L$7-1)</f>
        <v/>
      </c>
      <c r="F30">
        <f>'B3.3 cases'!$C$7+('B3.3 cases'!$E$7-'B3.3 cases'!$C$7)*(D30/'B3.3 cases'!$H$7)^(1/'B3.3 cases'!$L$7)</f>
        <v/>
      </c>
    </row>
    <row r="31">
      <c r="A31" t="n">
        <v>6</v>
      </c>
      <c r="B31" t="inlineStr">
        <is>
          <t>Hcrest</t>
        </is>
      </c>
      <c r="C31">
        <f>'B3.3 cases'!$F$7</f>
        <v/>
      </c>
      <c r="D31">
        <f>'B3.3 cases'!$H$7*((C31-'B3.3 cases'!$C$7)/('B3.3 cases'!$E$7-'B3.3 cases'!$C$7))^'B3.3 cases'!$L$7</f>
        <v/>
      </c>
      <c r="E31">
        <f>'B3.3 cases'!$L$7*'B3.3 cases'!$H$7/('B3.3 cases'!$E$7-'B3.3 cases'!$C$7)*((C31-'B3.3 cases'!$C$7)/('B3.3 cases'!$E$7-'B3.3 cases'!$C$7))^('B3.3 cases'!$L$7-1)</f>
        <v/>
      </c>
      <c r="F31">
        <f>'B3.3 cases'!$C$7+('B3.3 cases'!$E$7-'B3.3 cases'!$C$7)*(D31/'B3.3 cases'!$H$7)^(1/'B3.3 cases'!$L$7)</f>
        <v/>
      </c>
    </row>
    <row r="32">
      <c r="A32" t="n">
        <v>7</v>
      </c>
      <c r="B32" t="inlineStr">
        <is>
          <t>Hbed</t>
        </is>
      </c>
      <c r="C32">
        <f>'B3.3 cases'!$C$8</f>
        <v/>
      </c>
      <c r="D32">
        <f>'B3.3 cases'!$H$8*((C32-'B3.3 cases'!$C$8)/('B3.3 cases'!$E$8-'B3.3 cases'!$C$8))^'B3.3 cases'!$L$8</f>
        <v/>
      </c>
      <c r="E32">
        <f>'B3.3 cases'!$L$8*'B3.3 cases'!$H$8/('B3.3 cases'!$E$8-'B3.3 cases'!$C$8)*((C32-'B3.3 cases'!$C$8)/('B3.3 cases'!$E$8-'B3.3 cases'!$C$8))^('B3.3 cases'!$L$8-1)</f>
        <v/>
      </c>
      <c r="F32">
        <f>'B3.3 cases'!$C$8+('B3.3 cases'!$E$8-'B3.3 cases'!$C$8)*(D32/'B3.3 cases'!$H$8)^(1/'B3.3 cases'!$L$8)</f>
        <v/>
      </c>
    </row>
    <row r="33">
      <c r="A33" t="n">
        <v>7</v>
      </c>
      <c r="B33" t="inlineStr">
        <is>
          <t>Hmin</t>
        </is>
      </c>
      <c r="C33">
        <f>'B3.3 cases'!$M$8</f>
        <v/>
      </c>
      <c r="D33">
        <f>'B3.3 cases'!$H$8*((C33-'B3.3 cases'!$C$8)/('B3.3 cases'!$E$8-'B3.3 cases'!$C$8))^'B3.3 cases'!$L$8</f>
        <v/>
      </c>
      <c r="E33">
        <f>'B3.3 cases'!$L$8*'B3.3 cases'!$H$8/('B3.3 cases'!$E$8-'B3.3 cases'!$C$8)*((C33-'B3.3 cases'!$C$8)/('B3.3 cases'!$E$8-'B3.3 cases'!$C$8))^('B3.3 cases'!$L$8-1)</f>
        <v/>
      </c>
      <c r="F33">
        <f>'B3.3 cases'!$C$8+('B3.3 cases'!$E$8-'B3.3 cases'!$C$8)*(D33/'B3.3 cases'!$H$8)^(1/'B3.3 cases'!$L$8)</f>
        <v/>
      </c>
    </row>
    <row r="34">
      <c r="A34" t="n">
        <v>7</v>
      </c>
      <c r="B34" t="inlineStr">
        <is>
          <t>Hmid</t>
        </is>
      </c>
      <c r="C34">
        <f>('B3.3 cases'!$C$8+'B3.3 cases'!$E$8)/2</f>
        <v/>
      </c>
      <c r="D34">
        <f>'B3.3 cases'!$H$8*((C34-'B3.3 cases'!$C$8)/('B3.3 cases'!$E$8-'B3.3 cases'!$C$8))^'B3.3 cases'!$L$8</f>
        <v/>
      </c>
      <c r="E34">
        <f>'B3.3 cases'!$L$8*'B3.3 cases'!$H$8/('B3.3 cases'!$E$8-'B3.3 cases'!$C$8)*((C34-'B3.3 cases'!$C$8)/('B3.3 cases'!$E$8-'B3.3 cases'!$C$8))^('B3.3 cases'!$L$8-1)</f>
        <v/>
      </c>
      <c r="F34">
        <f>'B3.3 cases'!$C$8+('B3.3 cases'!$E$8-'B3.3 cases'!$C$8)*(D34/'B3.3 cases'!$H$8)^(1/'B3.3 cases'!$L$8)</f>
        <v/>
      </c>
    </row>
    <row r="35">
      <c r="A35" t="n">
        <v>7</v>
      </c>
      <c r="B35" t="inlineStr">
        <is>
          <t>Hmax</t>
        </is>
      </c>
      <c r="C35">
        <f>'B3.3 cases'!$E$8</f>
        <v/>
      </c>
      <c r="D35">
        <f>'B3.3 cases'!$H$8*((C35-'B3.3 cases'!$C$8)/('B3.3 cases'!$E$8-'B3.3 cases'!$C$8))^'B3.3 cases'!$L$8</f>
        <v/>
      </c>
      <c r="E35">
        <f>'B3.3 cases'!$L$8*'B3.3 cases'!$H$8/('B3.3 cases'!$E$8-'B3.3 cases'!$C$8)*((C35-'B3.3 cases'!$C$8)/('B3.3 cases'!$E$8-'B3.3 cases'!$C$8))^('B3.3 cases'!$L$8-1)</f>
        <v/>
      </c>
      <c r="F35">
        <f>'B3.3 cases'!$C$8+('B3.3 cases'!$E$8-'B3.3 cases'!$C$8)*(D35/'B3.3 cases'!$H$8)^(1/'B3.3 cases'!$L$8)</f>
        <v/>
      </c>
    </row>
    <row r="36">
      <c r="A36" t="n">
        <v>7</v>
      </c>
      <c r="B36" t="inlineStr">
        <is>
          <t>Hcrest</t>
        </is>
      </c>
      <c r="C36">
        <f>'B3.3 cases'!$F$8</f>
        <v/>
      </c>
      <c r="D36">
        <f>'B3.3 cases'!$H$8*((C36-'B3.3 cases'!$C$8)/('B3.3 cases'!$E$8-'B3.3 cases'!$C$8))^'B3.3 cases'!$L$8</f>
        <v/>
      </c>
      <c r="E36">
        <f>'B3.3 cases'!$L$8*'B3.3 cases'!$H$8/('B3.3 cases'!$E$8-'B3.3 cases'!$C$8)*((C36-'B3.3 cases'!$C$8)/('B3.3 cases'!$E$8-'B3.3 cases'!$C$8))^('B3.3 cases'!$L$8-1)</f>
        <v/>
      </c>
      <c r="F36">
        <f>'B3.3 cases'!$C$8+('B3.3 cases'!$E$8-'B3.3 cases'!$C$8)*(D36/'B3.3 cases'!$H$8)^(1/'B3.3 cases'!$L$8)</f>
        <v/>
      </c>
    </row>
    <row r="37">
      <c r="A37" t="n">
        <v>8</v>
      </c>
      <c r="B37" t="inlineStr">
        <is>
          <t>Hbed</t>
        </is>
      </c>
      <c r="C37">
        <f>'B3.3 cases'!$C$9</f>
        <v/>
      </c>
      <c r="D37">
        <f>'B3.3 cases'!$H$9*((C37-'B3.3 cases'!$C$9)/('B3.3 cases'!$E$9-'B3.3 cases'!$C$9))^'B3.3 cases'!$L$9</f>
        <v/>
      </c>
      <c r="E37">
        <f>'B3.3 cases'!$L$9*'B3.3 cases'!$H$9/('B3.3 cases'!$E$9-'B3.3 cases'!$C$9)*((C37-'B3.3 cases'!$C$9)/('B3.3 cases'!$E$9-'B3.3 cases'!$C$9))^('B3.3 cases'!$L$9-1)</f>
        <v/>
      </c>
      <c r="F37">
        <f>'B3.3 cases'!$C$9+('B3.3 cases'!$E$9-'B3.3 cases'!$C$9)*(D37/'B3.3 cases'!$H$9)^(1/'B3.3 cases'!$L$9)</f>
        <v/>
      </c>
    </row>
    <row r="38">
      <c r="A38" t="n">
        <v>8</v>
      </c>
      <c r="B38" t="inlineStr">
        <is>
          <t>Hmin</t>
        </is>
      </c>
      <c r="C38">
        <f>'B3.3 cases'!$M$9</f>
        <v/>
      </c>
      <c r="D38">
        <f>'B3.3 cases'!$H$9*((C38-'B3.3 cases'!$C$9)/('B3.3 cases'!$E$9-'B3.3 cases'!$C$9))^'B3.3 cases'!$L$9</f>
        <v/>
      </c>
      <c r="E38">
        <f>'B3.3 cases'!$L$9*'B3.3 cases'!$H$9/('B3.3 cases'!$E$9-'B3.3 cases'!$C$9)*((C38-'B3.3 cases'!$C$9)/('B3.3 cases'!$E$9-'B3.3 cases'!$C$9))^('B3.3 cases'!$L$9-1)</f>
        <v/>
      </c>
      <c r="F38">
        <f>'B3.3 cases'!$C$9+('B3.3 cases'!$E$9-'B3.3 cases'!$C$9)*(D38/'B3.3 cases'!$H$9)^(1/'B3.3 cases'!$L$9)</f>
        <v/>
      </c>
    </row>
    <row r="39">
      <c r="A39" t="n">
        <v>8</v>
      </c>
      <c r="B39" t="inlineStr">
        <is>
          <t>Hmid</t>
        </is>
      </c>
      <c r="C39">
        <f>('B3.3 cases'!$C$9+'B3.3 cases'!$E$9)/2</f>
        <v/>
      </c>
      <c r="D39">
        <f>'B3.3 cases'!$H$9*((C39-'B3.3 cases'!$C$9)/('B3.3 cases'!$E$9-'B3.3 cases'!$C$9))^'B3.3 cases'!$L$9</f>
        <v/>
      </c>
      <c r="E39">
        <f>'B3.3 cases'!$L$9*'B3.3 cases'!$H$9/('B3.3 cases'!$E$9-'B3.3 cases'!$C$9)*((C39-'B3.3 cases'!$C$9)/('B3.3 cases'!$E$9-'B3.3 cases'!$C$9))^('B3.3 cases'!$L$9-1)</f>
        <v/>
      </c>
      <c r="F39">
        <f>'B3.3 cases'!$C$9+('B3.3 cases'!$E$9-'B3.3 cases'!$C$9)*(D39/'B3.3 cases'!$H$9)^(1/'B3.3 cases'!$L$9)</f>
        <v/>
      </c>
    </row>
    <row r="40">
      <c r="A40" t="n">
        <v>8</v>
      </c>
      <c r="B40" t="inlineStr">
        <is>
          <t>Hmax</t>
        </is>
      </c>
      <c r="C40">
        <f>'B3.3 cases'!$E$9</f>
        <v/>
      </c>
      <c r="D40">
        <f>'B3.3 cases'!$H$9*((C40-'B3.3 cases'!$C$9)/('B3.3 cases'!$E$9-'B3.3 cases'!$C$9))^'B3.3 cases'!$L$9</f>
        <v/>
      </c>
      <c r="E40">
        <f>'B3.3 cases'!$L$9*'B3.3 cases'!$H$9/('B3.3 cases'!$E$9-'B3.3 cases'!$C$9)*((C40-'B3.3 cases'!$C$9)/('B3.3 cases'!$E$9-'B3.3 cases'!$C$9))^('B3.3 cases'!$L$9-1)</f>
        <v/>
      </c>
      <c r="F40">
        <f>'B3.3 cases'!$C$9+('B3.3 cases'!$E$9-'B3.3 cases'!$C$9)*(D40/'B3.3 cases'!$H$9)^(1/'B3.3 cases'!$L$9)</f>
        <v/>
      </c>
    </row>
    <row r="41">
      <c r="A41" t="n">
        <v>8</v>
      </c>
      <c r="B41" t="inlineStr">
        <is>
          <t>Hcrest</t>
        </is>
      </c>
      <c r="C41">
        <f>'B3.3 cases'!$F$9</f>
        <v/>
      </c>
      <c r="D41">
        <f>'B3.3 cases'!$H$9*((C41-'B3.3 cases'!$C$9)/('B3.3 cases'!$E$9-'B3.3 cases'!$C$9))^'B3.3 cases'!$L$9</f>
        <v/>
      </c>
      <c r="E41">
        <f>'B3.3 cases'!$L$9*'B3.3 cases'!$H$9/('B3.3 cases'!$E$9-'B3.3 cases'!$C$9)*((C41-'B3.3 cases'!$C$9)/('B3.3 cases'!$E$9-'B3.3 cases'!$C$9))^('B3.3 cases'!$L$9-1)</f>
        <v/>
      </c>
      <c r="F41">
        <f>'B3.3 cases'!$C$9+('B3.3 cases'!$E$9-'B3.3 cases'!$C$9)*(D41/'B3.3 cases'!$H$9)^(1/'B3.3 cases'!$L$9)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2026-10-26T10:40:11Z</dcterms:created>
  <dcterms:modified xsi:type="dcterms:W3CDTF">2026-10-26T10:40:11Z</dcterms:modified>
</cp:coreProperties>
</file>