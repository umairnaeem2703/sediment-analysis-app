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OHAMMAD UMAIR\Documents\GitHub\sediment-analysis-app\inputs\"/>
    </mc:Choice>
  </mc:AlternateContent>
  <xr:revisionPtr revIDLastSave="0" documentId="8_{3EA6FD2D-071D-413B-A955-D2C1B3EEDEBC}" xr6:coauthVersionLast="47" xr6:coauthVersionMax="47" xr10:uidLastSave="{00000000-0000-0000-0000-000000000000}"/>
  <bookViews>
    <workbookView xWindow="22932" yWindow="-108" windowWidth="23256" windowHeight="12456" xr2:uid="{F8D03824-99F6-493F-9803-E3F947FADEDE}"/>
  </bookViews>
  <sheets>
    <sheet name="KAVŞAKKAYA"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s>
  <definedNames>
    <definedName name="\a">#REF!</definedName>
    <definedName name="\c">#REF!</definedName>
    <definedName name="\d">#REF!</definedName>
    <definedName name="\h">#REF!</definedName>
    <definedName name="\m">#REF!</definedName>
    <definedName name="\p">#N/A</definedName>
    <definedName name="\u">#REF!</definedName>
    <definedName name="\z">#REF!</definedName>
    <definedName name="____________________________________________________________________________________________de2" localSheetId="0">[3]yENİCE!#REF!</definedName>
    <definedName name="____________________________________________________________________________________________de2">[4]yENİCE!#REF!</definedName>
    <definedName name="___________________________________________________________________________________________de2" localSheetId="0">[3]yENİCE!#REF!</definedName>
    <definedName name="___________________________________________________________________________________________de2">[4]yENİCE!#REF!</definedName>
    <definedName name="______________________________________________________________________________________T1" localSheetId="0">[3]yENİCE!#REF!</definedName>
    <definedName name="______________________________________________________________________________________T1">[4]yENİCE!#REF!</definedName>
    <definedName name="_____________________________________________________________________________________T1" localSheetId="0">[3]yENİCE!#REF!</definedName>
    <definedName name="_____________________________________________________________________________________T1">[4]yENİCE!#REF!</definedName>
    <definedName name="________________________________________________________________________de2" localSheetId="0">[5]yENİCE!#REF!</definedName>
    <definedName name="________________________________________________________________________de2">[4]yENİCE!#REF!</definedName>
    <definedName name="__________________________________________________________________T1" localSheetId="0">[5]yENİCE!#REF!</definedName>
    <definedName name="__________________________________________________________________T1">[4]yENİCE!#REF!</definedName>
    <definedName name="____________________________________de2">[6]yENİCE!#REF!</definedName>
    <definedName name="____________________________________xx1">#REF!</definedName>
    <definedName name="___________________________________de2">[5]yENİCE!#REF!</definedName>
    <definedName name="___________________________________xx1">#REF!</definedName>
    <definedName name="__________________________________de2">[5]yENİCE!#REF!</definedName>
    <definedName name="__________________________________xx1">#REF!</definedName>
    <definedName name="_________________________________de2">[5]yENİCE!#REF!</definedName>
    <definedName name="_________________________________xx1">#REF!</definedName>
    <definedName name="________________________________de2">[5]yENİCE!#REF!</definedName>
    <definedName name="________________________________xx1">#REF!</definedName>
    <definedName name="_______________________________de2">[5]yENİCE!#REF!</definedName>
    <definedName name="_______________________________xx1">#REF!</definedName>
    <definedName name="______________________________de2">[5]yENİCE!#REF!</definedName>
    <definedName name="______________________________xx1">#REF!</definedName>
    <definedName name="_____________________________de2">[5]yENİCE!#REF!</definedName>
    <definedName name="_____________________________T1">[5]yENİCE!#REF!</definedName>
    <definedName name="_____________________________xx1">#REF!</definedName>
    <definedName name="____________________________de2" localSheetId="0">[3]yENİCE!#REF!</definedName>
    <definedName name="____________________________de2">[4]yENİCE!#REF!</definedName>
    <definedName name="____________________________T1">[5]yENİCE!#REF!</definedName>
    <definedName name="____________________________xx1">#REF!</definedName>
    <definedName name="___________________________de2">[5]yENİCE!#REF!</definedName>
    <definedName name="___________________________T1">[5]yENİCE!#REF!</definedName>
    <definedName name="___________________________xx1">#REF!</definedName>
    <definedName name="__________________________de2">[5]yENİCE!#REF!</definedName>
    <definedName name="__________________________T1">[5]yENİCE!#REF!</definedName>
    <definedName name="__________________________xx1">#REF!</definedName>
    <definedName name="_________________________de2">[5]yENİCE!#REF!</definedName>
    <definedName name="_________________________T1">[5]yENİCE!#REF!</definedName>
    <definedName name="_________________________xx1">#REF!</definedName>
    <definedName name="________________________de2">[5]yENİCE!#REF!</definedName>
    <definedName name="________________________T1">[5]yENİCE!#REF!</definedName>
    <definedName name="________________________xx1">#REF!</definedName>
    <definedName name="_______________________de2">[5]yENİCE!#REF!</definedName>
    <definedName name="_______________________T1">[5]yENİCE!#REF!</definedName>
    <definedName name="_______________________xx1">#REF!</definedName>
    <definedName name="______________________de2">[5]yENİCE!#REF!</definedName>
    <definedName name="______________________T1" localSheetId="0">[3]yENİCE!#REF!</definedName>
    <definedName name="______________________T1">[4]yENİCE!#REF!</definedName>
    <definedName name="______________________xx1">#REF!</definedName>
    <definedName name="_____________________de2" localSheetId="0">[3]yENİCE!#REF!</definedName>
    <definedName name="_____________________de2">[4]yENİCE!#REF!</definedName>
    <definedName name="_____________________T1">[5]yENİCE!#REF!</definedName>
    <definedName name="_____________________xx1">#REF!</definedName>
    <definedName name="____________________de2" localSheetId="0">[3]yENİCE!#REF!</definedName>
    <definedName name="____________________de2">[4]yENİCE!#REF!</definedName>
    <definedName name="____________________T1">[5]yENİCE!#REF!</definedName>
    <definedName name="____________________xx1">#REF!</definedName>
    <definedName name="___________________de2" localSheetId="0">[3]yENİCE!#REF!</definedName>
    <definedName name="___________________de2">[4]yENİCE!#REF!</definedName>
    <definedName name="___________________T1">[5]yENİCE!#REF!</definedName>
    <definedName name="___________________xx1">#REF!</definedName>
    <definedName name="__________________de2" localSheetId="0">[7]yENİCE!#REF!</definedName>
    <definedName name="__________________de2">[4]yENİCE!#REF!</definedName>
    <definedName name="__________________T1">[5]yENİCE!#REF!</definedName>
    <definedName name="__________________xx1">#REF!</definedName>
    <definedName name="_________________de2" localSheetId="0">[7]yENİCE!#REF!</definedName>
    <definedName name="_________________de2">[4]yENİCE!#REF!</definedName>
    <definedName name="_________________T1">[5]yENİCE!#REF!</definedName>
    <definedName name="_________________xx1">#REF!</definedName>
    <definedName name="________________de2" localSheetId="0">[5]yENİCE!#REF!</definedName>
    <definedName name="________________de2">[4]yENİCE!#REF!</definedName>
    <definedName name="________________T1">[5]yENİCE!#REF!</definedName>
    <definedName name="________________xx1">#REF!</definedName>
    <definedName name="_______________de2" localSheetId="0">[5]yENİCE!#REF!</definedName>
    <definedName name="_______________de2">[4]yENİCE!#REF!</definedName>
    <definedName name="_______________T1" localSheetId="0">[3]yENİCE!#REF!</definedName>
    <definedName name="_______________T1">[4]yENİCE!#REF!</definedName>
    <definedName name="_______________xx1">#REF!</definedName>
    <definedName name="______________de2" localSheetId="0">[5]yENİCE!#REF!</definedName>
    <definedName name="______________de2">[4]yENİCE!#REF!</definedName>
    <definedName name="______________T1" localSheetId="0">[3]yENİCE!#REF!</definedName>
    <definedName name="______________T1">[4]yENİCE!#REF!</definedName>
    <definedName name="______________xx1">#REF!</definedName>
    <definedName name="_____________de2" localSheetId="0">[5]yENİCE!#REF!</definedName>
    <definedName name="_____________de2">[4]yENİCE!#REF!</definedName>
    <definedName name="_____________T1" localSheetId="0">[3]yENİCE!#REF!</definedName>
    <definedName name="_____________T1">[4]yENİCE!#REF!</definedName>
    <definedName name="_____________xx1">#REF!</definedName>
    <definedName name="____________de2" localSheetId="0">[5]yENİCE!#REF!</definedName>
    <definedName name="____________de2">[4]yENİCE!#REF!</definedName>
    <definedName name="____________T1" localSheetId="0">[7]yENİCE!#REF!</definedName>
    <definedName name="____________T1">[4]yENİCE!#REF!</definedName>
    <definedName name="____________xx1">#REF!</definedName>
    <definedName name="___________de2" localSheetId="0">[5]yENİCE!#REF!</definedName>
    <definedName name="___________de2">[4]yENİCE!#REF!</definedName>
    <definedName name="___________T1" localSheetId="0">[7]yENİCE!#REF!</definedName>
    <definedName name="___________T1">[4]yENİCE!#REF!</definedName>
    <definedName name="___________xx1">#REF!</definedName>
    <definedName name="__________de2" localSheetId="0">[5]yENİCE!#REF!</definedName>
    <definedName name="__________de2">[4]yENİCE!#REF!</definedName>
    <definedName name="__________sy4">#REF!</definedName>
    <definedName name="__________T1" localSheetId="0">[5]yENİCE!#REF!</definedName>
    <definedName name="__________T1">[4]yENİCE!#REF!</definedName>
    <definedName name="__________xx1">#REF!</definedName>
    <definedName name="_________de2" localSheetId="0">[5]yENİCE!#REF!</definedName>
    <definedName name="_________de2">[4]yENİCE!#REF!</definedName>
    <definedName name="_________T1" localSheetId="0">[5]yENİCE!#REF!</definedName>
    <definedName name="_________T1">[4]yENİCE!#REF!</definedName>
    <definedName name="_________xx1">#REF!</definedName>
    <definedName name="________ARA1">'[8]KM KANATLI'!#REF!</definedName>
    <definedName name="________ARA2">'[8]KM KANATLI'!#REF!</definedName>
    <definedName name="________de2" localSheetId="0">[5]yENİCE!#REF!</definedName>
    <definedName name="________de2">[4]yENİCE!#REF!</definedName>
    <definedName name="________IX1">'[9]103+390-107+250'!$IV$1:$IV$65536</definedName>
    <definedName name="________IZ1">'[9]103+390-107+250'!$IU$1</definedName>
    <definedName name="________SOZ1">#REF!</definedName>
    <definedName name="________SOZ2">#REF!</definedName>
    <definedName name="________SOZ3">#REF!</definedName>
    <definedName name="________SOZ4">#REF!</definedName>
    <definedName name="________SOZ5">#REF!</definedName>
    <definedName name="________SOZ6">#REF!</definedName>
    <definedName name="________sy4">#REF!</definedName>
    <definedName name="________T1" localSheetId="0">[5]yENİCE!#REF!</definedName>
    <definedName name="________T1">[4]yENİCE!#REF!</definedName>
    <definedName name="________TIP1">'[8]KM KANATLI'!#REF!</definedName>
    <definedName name="________TIP2">'[8]KM KANATLI'!#REF!</definedName>
    <definedName name="________xx1">#REF!</definedName>
    <definedName name="_______ARA1">'[8]KM KANATLI'!#REF!</definedName>
    <definedName name="_______ARA2">'[8]KM KANATLI'!#REF!</definedName>
    <definedName name="_______de2" localSheetId="0">[7]yENİCE!#REF!</definedName>
    <definedName name="_______de2">[4]yENİCE!#REF!</definedName>
    <definedName name="_______IX1">'[9]103+390-107+250'!$IV$1:$IV$65536</definedName>
    <definedName name="_______IZ1">'[9]103+390-107+250'!$IU$1</definedName>
    <definedName name="_______SOZ1">#REF!</definedName>
    <definedName name="_______SOZ2">#REF!</definedName>
    <definedName name="_______SOZ3">#REF!</definedName>
    <definedName name="_______SOZ4">#REF!</definedName>
    <definedName name="_______SOZ5">#REF!</definedName>
    <definedName name="_______SOZ6">#REF!</definedName>
    <definedName name="_______T1" localSheetId="0">[5]yENİCE!#REF!</definedName>
    <definedName name="_______T1">[4]yENİCE!#REF!</definedName>
    <definedName name="_______TIP1">'[8]KM KANATLI'!#REF!</definedName>
    <definedName name="_______TIP2">'[8]KM KANATLI'!#REF!</definedName>
    <definedName name="_______xx1">#REF!</definedName>
    <definedName name="______ARA1">'[8]KM KANATLI'!#REF!</definedName>
    <definedName name="______ARA2">'[8]KM KANATLI'!#REF!</definedName>
    <definedName name="______de2" localSheetId="0">[7]yENİCE!#REF!</definedName>
    <definedName name="______de2">[4]yENİCE!#REF!</definedName>
    <definedName name="______IX1">'[9]103+390-107+250'!$IV$1:$IV$65536</definedName>
    <definedName name="______IZ1">'[9]103+390-107+250'!$IU$1</definedName>
    <definedName name="______SOZ1">#REF!</definedName>
    <definedName name="______SOZ2">#REF!</definedName>
    <definedName name="______SOZ3">#REF!</definedName>
    <definedName name="______SOZ4">#REF!</definedName>
    <definedName name="______SOZ5">#REF!</definedName>
    <definedName name="______SOZ6">#REF!</definedName>
    <definedName name="______sy4">#REF!</definedName>
    <definedName name="______T1" localSheetId="0">[5]yENİCE!#REF!</definedName>
    <definedName name="______T1">[4]yENİCE!#REF!</definedName>
    <definedName name="______TIP1">'[8]KM KANATLI'!#REF!</definedName>
    <definedName name="______TIP2">'[8]KM KANATLI'!#REF!</definedName>
    <definedName name="______xx1">#REF!</definedName>
    <definedName name="_____ARA1">'[8]KM KANATLI'!#REF!</definedName>
    <definedName name="_____ARA2">'[8]KM KANATLI'!#REF!</definedName>
    <definedName name="_____de2">[10]yENİCE!#REF!</definedName>
    <definedName name="_____IX1">'[9]103+390-107+250'!$IV$1:$IV$65536</definedName>
    <definedName name="_____IZ1">'[9]103+390-107+250'!$IU$1</definedName>
    <definedName name="_____SOZ1">#REF!</definedName>
    <definedName name="_____SOZ2">#REF!</definedName>
    <definedName name="_____SOZ3">#REF!</definedName>
    <definedName name="_____SOZ4">#REF!</definedName>
    <definedName name="_____SOZ5">#REF!</definedName>
    <definedName name="_____SOZ6">#REF!</definedName>
    <definedName name="_____sy4">#REF!</definedName>
    <definedName name="_____T1" localSheetId="0">[5]yENİCE!#REF!</definedName>
    <definedName name="_____T1">[4]yENİCE!#REF!</definedName>
    <definedName name="_____TIP1">'[8]KM KANATLI'!#REF!</definedName>
    <definedName name="_____TIP2">'[8]KM KANATLI'!#REF!</definedName>
    <definedName name="_____xx1">#REF!</definedName>
    <definedName name="____1Yazdırma_Alanı_MI">#REF!</definedName>
    <definedName name="____ARA1">'[8]KM KANATLI'!#REF!</definedName>
    <definedName name="____ARA2">'[8]KM KANATLI'!#REF!</definedName>
    <definedName name="____de2">[10]yENİCE!#REF!</definedName>
    <definedName name="____IX1">'[9]103+390-107+250'!$IV$1:$IV$65536</definedName>
    <definedName name="____IZ1">'[9]103+390-107+250'!$IU$1</definedName>
    <definedName name="____SOZ1">#REF!</definedName>
    <definedName name="____SOZ2">#REF!</definedName>
    <definedName name="____SOZ3">#REF!</definedName>
    <definedName name="____SOZ4">#REF!</definedName>
    <definedName name="____SOZ5">#REF!</definedName>
    <definedName name="____SOZ6">#REF!</definedName>
    <definedName name="____sy4">#REF!</definedName>
    <definedName name="____T1" localSheetId="0">[5]yENİCE!#REF!</definedName>
    <definedName name="____T1">[4]yENİCE!#REF!</definedName>
    <definedName name="____TIP1">'[8]KM KANATLI'!#REF!</definedName>
    <definedName name="____TIP2">'[8]KM KANATLI'!#REF!</definedName>
    <definedName name="____xx1">#REF!</definedName>
    <definedName name="___1Yazdırma_Alanı_MI">#REF!</definedName>
    <definedName name="___ARA1">'[8]KM KANATLI'!#REF!</definedName>
    <definedName name="___ARA2">'[8]KM KANATLI'!#REF!</definedName>
    <definedName name="___de2">[10]yENİCE!#REF!</definedName>
    <definedName name="___HCO3">#REF!</definedName>
    <definedName name="___IX1">'[9]103+390-107+250'!$IV$1:$IV$65536</definedName>
    <definedName name="___IZ1">'[9]103+390-107+250'!$IU$1</definedName>
    <definedName name="___OPO4">#REF!</definedName>
    <definedName name="___SO4">#REF!</definedName>
    <definedName name="___SOZ1">#REF!</definedName>
    <definedName name="___SOZ2">#REF!</definedName>
    <definedName name="___SOZ3">#REF!</definedName>
    <definedName name="___SOZ4">#REF!</definedName>
    <definedName name="___SOZ5">#REF!</definedName>
    <definedName name="___SOZ6">#REF!</definedName>
    <definedName name="___sy4">#REF!</definedName>
    <definedName name="___T1" localSheetId="0">[5]yENİCE!#REF!</definedName>
    <definedName name="___T1">[4]yENİCE!#REF!</definedName>
    <definedName name="___TIP1">'[8]KM KANATLI'!#REF!</definedName>
    <definedName name="___TIP2">'[8]KM KANATLI'!#REF!</definedName>
    <definedName name="___xx1">#REF!</definedName>
    <definedName name="__123Graph_A" localSheetId="0" hidden="1">[11]YAĞIŞ!#REF!</definedName>
    <definedName name="__123Graph_A" hidden="1">[12]YAĞIŞ!#REF!</definedName>
    <definedName name="__123Graph_X" localSheetId="0" hidden="1">[13]T39!$B$18:$B$28</definedName>
    <definedName name="__123Graph_X" hidden="1">[14]T39!$B$18:$B$28</definedName>
    <definedName name="__1Yazdırma_Alanı_MI">#REF!</definedName>
    <definedName name="__3Yazdırma_Alanı_MI">#REF!</definedName>
    <definedName name="__a23325">#REF!</definedName>
    <definedName name="__ARA1">'[8]KM KANATLI'!#REF!</definedName>
    <definedName name="__ARA2">'[8]KM KANATLI'!#REF!</definedName>
    <definedName name="__de2">[5]yENİCE!#REF!</definedName>
    <definedName name="__HCO3">#REF!</definedName>
    <definedName name="__IX1">'[9]103+390-107+250'!$IV$1:$IV$65536</definedName>
    <definedName name="__IZ1">'[9]103+390-107+250'!$IU$1</definedName>
    <definedName name="__OPO4">#REF!</definedName>
    <definedName name="__SO4">#REF!</definedName>
    <definedName name="__SOZ1">#REF!</definedName>
    <definedName name="__SOZ2">#REF!</definedName>
    <definedName name="__SOZ3">#REF!</definedName>
    <definedName name="__SOZ4">#REF!</definedName>
    <definedName name="__SOZ5">#REF!</definedName>
    <definedName name="__SOZ6">#REF!</definedName>
    <definedName name="__sy4">#REF!</definedName>
    <definedName name="__T1">[5]yENİCE!#REF!</definedName>
    <definedName name="__TIP1">'[8]KM KANATLI'!#REF!</definedName>
    <definedName name="__TIP2">'[8]KM KANATLI'!#REF!</definedName>
    <definedName name="__xx1">#REF!</definedName>
    <definedName name="_01.501" localSheetId="0">[15]rayıc!$E$2</definedName>
    <definedName name="_01.501">[16]rayıc!$E$2</definedName>
    <definedName name="_1">#N/A</definedName>
    <definedName name="_1__________________________________________________________________________________________________________________Yazdırma_Alanı_MI">#REF!</definedName>
    <definedName name="_10">#N/A</definedName>
    <definedName name="_10______________________________________________________________________________________________________________Yazdırma_Alanı_MI">#REF!</definedName>
    <definedName name="_10_________________________________________________________________________________________________________Yazdırma_Alanı_MI">#REF!</definedName>
    <definedName name="_100_________________________________________________________________Yazdırma_Alanı_MI">#REF!</definedName>
    <definedName name="_1015______________________________________________________________________________________Yazdırma_Alanı_MI">#REF!</definedName>
    <definedName name="_102_________________________________________________________________________________Yazdırma_Alanı_MI">#REF!</definedName>
    <definedName name="_102________________________________________________________________Yazdırma_Alanı_MI">#REF!</definedName>
    <definedName name="_104_______________________________________________________________Yazdırma_Alanı_MI">#REF!</definedName>
    <definedName name="_105________________________________________________________________________________________________________________Yazdırma_Alanı_MI">#REF!</definedName>
    <definedName name="_105________________________________________________________________________________Yazdırma_Alanı_MI">#REF!</definedName>
    <definedName name="_1050_____________________________________________________________________________________Yazdırma_Alanı_MI">#REF!</definedName>
    <definedName name="_106_____________________________________________________________Yazdırma_Alanı_MI">#REF!</definedName>
    <definedName name="_108_______________________________________________________________________________Yazdırma_Alanı_MI">#REF!</definedName>
    <definedName name="_108___________________________________________________________Yazdırma_Alanı_MI">#REF!</definedName>
    <definedName name="_1085____________________________________________________________________________________Yazdırma_Alanı_MI">#REF!</definedName>
    <definedName name="_108Yazdırma_Alanı_MI">#REF!</definedName>
    <definedName name="_109Yazdırma_Alanı_MI">#REF!</definedName>
    <definedName name="_11">#N/A</definedName>
    <definedName name="_11________________________________________________________________________________________________________Yazdırma_Alanı_MI">#REF!</definedName>
    <definedName name="_110_________________________________________________________Yazdırma_Alanı_MI">#REF!</definedName>
    <definedName name="_111______________________________________________________________________________Yazdırma_Alanı_MI">#REF!</definedName>
    <definedName name="_112_______________________________________________________Yazdırma_Alanı_MI">#REF!</definedName>
    <definedName name="_1120___________________________________________________________________________________Yazdırma_Alanı_MI">#REF!</definedName>
    <definedName name="_114_____________________________________________________________________________Yazdırma_Alanı_MI">#REF!</definedName>
    <definedName name="_114_____________________________________________________Yazdırma_Alanı_MI">#REF!</definedName>
    <definedName name="_1155__________________________________________________________________________________Yazdırma_Alanı_MI">#REF!</definedName>
    <definedName name="_116____________________________________________________Yazdırma_Alanı_MI">#REF!</definedName>
    <definedName name="_117____________________________________________________________________________Yazdırma_Alanı_MI">#REF!</definedName>
    <definedName name="_118___________________________________________________Yazdırma_Alanı_MI">#REF!</definedName>
    <definedName name="_1190_________________________________________________________________________________Yazdırma_Alanı_MI">#REF!</definedName>
    <definedName name="_11A">#N/A</definedName>
    <definedName name="_12">#N/A</definedName>
    <definedName name="_12_______________________________________________________________________________________________________________Yazdırma_Alanı_MI">#REF!</definedName>
    <definedName name="_12_____________________________________________________________________________________________________________Yazdırma_Alanı_MI">#REF!</definedName>
    <definedName name="_12_______________________________________________________________________________________________________Yazdırma_Alanı_MI">#REF!</definedName>
    <definedName name="_120___________________________________________________________________________Yazdırma_Alanı_MI">#REF!</definedName>
    <definedName name="_120__________________________________________________Yazdırma_Alanı_MI">#REF!</definedName>
    <definedName name="_122_________________________________________________Yazdırma_Alanı_MI">#REF!</definedName>
    <definedName name="_1225________________________________________________________________________________Yazdırma_Alanı_MI">#REF!</definedName>
    <definedName name="_123__________________________________________________________________________Yazdırma_Alanı_MI">#REF!</definedName>
    <definedName name="_124________________________________________________Yazdırma_Alanı_MI">#REF!</definedName>
    <definedName name="_126_________________________________________________________________________Yazdırma_Alanı_MI">#REF!</definedName>
    <definedName name="_126_______________________________________________Yazdırma_Alanı_MI">#REF!</definedName>
    <definedName name="_1260_______________________________________________________________________________Yazdırma_Alanı_MI">#REF!</definedName>
    <definedName name="_128_____________________________________________Yazdırma_Alanı_MI">#REF!</definedName>
    <definedName name="_129________________________________________________________________________Yazdırma_Alanı_MI">#REF!</definedName>
    <definedName name="_1295______________________________________________________________________________Yazdırma_Alanı_MI">#REF!</definedName>
    <definedName name="_13">#N/A</definedName>
    <definedName name="_13______________________________________________________________________________________________________Yazdırma_Alanı_MI">#REF!</definedName>
    <definedName name="_130___________________________________________Yazdırma_Alanı_MI">#REF!</definedName>
    <definedName name="_132_______________________________________________________________________Yazdırma_Alanı_MI">#REF!</definedName>
    <definedName name="_132_________________________________________Yazdırma_Alanı_MI">#REF!</definedName>
    <definedName name="_1324_____________________________________________________________________________Yazdırma_Alanı_MI">#REF!</definedName>
    <definedName name="_134_______________________________________Yazdırma_Alanı_MI">#REF!</definedName>
    <definedName name="_135______________________________________________________________________Yazdırma_Alanı_MI">#REF!</definedName>
    <definedName name="_1359____________________________________________________________________________Yazdırma_Alanı_MI">#REF!</definedName>
    <definedName name="_136_____________________________________Yazdırma_Alanı_MI">#REF!</definedName>
    <definedName name="_138_____________________________________________________________________Yazdırma_Alanı_MI">#REF!</definedName>
    <definedName name="_138___________________________________Yazdırma_Alanı_MI">#REF!</definedName>
    <definedName name="_1388___________________________________________________________________________Yazdırma_Alanı_MI">#REF!</definedName>
    <definedName name="_14">#N/A</definedName>
    <definedName name="_14____________________________________________________________________________________________________________Yazdırma_Alanı_MI">#REF!</definedName>
    <definedName name="_14_____________________________________________________________________________________________________Yazdırma_Alanı_MI">#REF!</definedName>
    <definedName name="_140_______________________________________________________________________________________________________________Yazdırma_Alanı_MI">#REF!</definedName>
    <definedName name="_140_________________________________Yazdırma_Alanı_MI">#REF!</definedName>
    <definedName name="_141____________________________________________________________________Yazdırma_Alanı_MI">#REF!</definedName>
    <definedName name="_142_______________________________Yazdırma_Alanı_MI">#REF!</definedName>
    <definedName name="_1423__________________________________________________________________________Yazdırma_Alanı_MI">#REF!</definedName>
    <definedName name="_144___________________________________________________________________Yazdırma_Alanı_MI">#REF!</definedName>
    <definedName name="_144_____________________________Yazdırma_Alanı_MI">#REF!</definedName>
    <definedName name="_1452_________________________________________________________________________Yazdırma_Alanı_MI">#REF!</definedName>
    <definedName name="_146___________________________Yazdırma_Alanı_MI">#REF!</definedName>
    <definedName name="_147__________________________________________________________________Yazdırma_Alanı_MI">#REF!</definedName>
    <definedName name="_148_________________________Yazdırma_Alanı_MI">#REF!</definedName>
    <definedName name="_1487________________________________________________________________________Yazdırma_Alanı_MI">#REF!</definedName>
    <definedName name="_15">#N/A</definedName>
    <definedName name="_15______________________________________________________________________________________________________________Yazdırma_Alanı_MI">#REF!</definedName>
    <definedName name="_15____________________________________________________________________________________________________Yazdırma_Alanı_MI">#REF!</definedName>
    <definedName name="_150_________________________________________________________________Yazdırma_Alanı_MI">#REF!</definedName>
    <definedName name="_150_______________________Yazdırma_Alanı_MI">#REF!</definedName>
    <definedName name="_1516_______________________________________________________________________Yazdırma_Alanı_MI">#REF!</definedName>
    <definedName name="_152______________________Yazdırma_Alanı_MI">#REF!</definedName>
    <definedName name="_153________________________________________________________________Yazdırma_Alanı_MI">#REF!</definedName>
    <definedName name="_154_____________________Yazdırma_Alanı_MI">#REF!</definedName>
    <definedName name="_1551______________________________________________________________________Yazdırma_Alanı_MI">#REF!</definedName>
    <definedName name="_156_______________________________________________________________Yazdırma_Alanı_MI">#REF!</definedName>
    <definedName name="_156____________________Yazdırma_Alanı_MI">#REF!</definedName>
    <definedName name="_158___________________Yazdırma_Alanı_MI">#REF!</definedName>
    <definedName name="_1580_____________________________________________________________________Yazdırma_Alanı_MI">#REF!</definedName>
    <definedName name="_159_____________________________________________________________Yazdırma_Alanı_MI">#REF!</definedName>
    <definedName name="_16">#N/A</definedName>
    <definedName name="_16___________________________________________________________________________________________________________Yazdırma_Alanı_MI">#REF!</definedName>
    <definedName name="_16___________________________________________________________________________________________________Yazdırma_Alanı_MI">#REF!</definedName>
    <definedName name="_16_023">#REF!</definedName>
    <definedName name="_160__________________Yazdırma_Alanı_MI">#REF!</definedName>
    <definedName name="_1615____________________________________________________________________Yazdırma_Alanı_MI">#REF!</definedName>
    <definedName name="_162___________________________________________________________Yazdırma_Alanı_MI">#REF!</definedName>
    <definedName name="_162_________________Yazdırma_Alanı_MI">#REF!</definedName>
    <definedName name="_164________________Yazdırma_Alanı_MI">#REF!</definedName>
    <definedName name="_1644___________________________________________________________________Yazdırma_Alanı_MI">#REF!</definedName>
    <definedName name="_165_________________________________________________________Yazdırma_Alanı_MI">#REF!</definedName>
    <definedName name="_166_______________Yazdırma_Alanı_MI">#REF!</definedName>
    <definedName name="_1679__________________________________________________________________Yazdırma_Alanı_MI">#REF!</definedName>
    <definedName name="_168_______________________________________________________Yazdırma_Alanı_MI">#REF!</definedName>
    <definedName name="_168______________Yazdırma_Alanı_MI">#REF!</definedName>
    <definedName name="_17">#N/A</definedName>
    <definedName name="_17__________________________________________________________________________________________________Yazdırma_Alanı_MI">#REF!</definedName>
    <definedName name="_170_____________Yazdırma_Alanı_MI">#REF!</definedName>
    <definedName name="_1708_________________________________________________________________Yazdırma_Alanı_MI">#REF!</definedName>
    <definedName name="_171_____________________________________________________Yazdırma_Alanı_MI">#REF!</definedName>
    <definedName name="_172____________Yazdırma_Alanı_MI">#REF!</definedName>
    <definedName name="_174____________________________________________________Yazdırma_Alanı_MI">#REF!</definedName>
    <definedName name="_174___________Yazdırma_Alanı_MI">#REF!</definedName>
    <definedName name="_1743________________________________________________________________Yazdırma_Alanı_MI">#REF!</definedName>
    <definedName name="_175______________________________________________________________________________________________________________Yazdırma_Alanı_MI">#REF!</definedName>
    <definedName name="_176__________Yazdırma_Alanı_MI">#REF!</definedName>
    <definedName name="_177___________________________________________________Yazdırma_Alanı_MI">#REF!</definedName>
    <definedName name="_1772_______________________________________________________________Yazdırma_Alanı_MI">#REF!</definedName>
    <definedName name="_178_________Yazdırma_Alanı_MI">#REF!</definedName>
    <definedName name="_18">#N/A</definedName>
    <definedName name="_18_____________________________________________________________________________________________________________Yazdırma_Alanı_MI">#REF!</definedName>
    <definedName name="_18__________________________________________________________________________________________________________Yazdırma_Alanı_MI">#REF!</definedName>
    <definedName name="_18_________________________________________________________________________________________________Yazdırma_Alanı_MI">#REF!</definedName>
    <definedName name="_180__________________________________________________Yazdırma_Alanı_MI">#REF!</definedName>
    <definedName name="_180________Yazdırma_Alanı_MI">#REF!</definedName>
    <definedName name="_1801_____________________________________________________________Yazdırma_Alanı_MI">#REF!</definedName>
    <definedName name="_182_______Yazdırma_Alanı_MI">#REF!</definedName>
    <definedName name="_183_________________________________________________Yazdırma_Alanı_MI">#REF!</definedName>
    <definedName name="_1830___________________________________________________________Yazdırma_Alanı_MI">#REF!</definedName>
    <definedName name="_184______Yazdırma_Alanı_MI">#REF!</definedName>
    <definedName name="_1859_________________________________________________________Yazdırma_Alanı_MI">#REF!</definedName>
    <definedName name="_186________________________________________________Yazdırma_Alanı_MI">#REF!</definedName>
    <definedName name="_186_____Yazdırma_Alanı_MI">#REF!</definedName>
    <definedName name="_188____Yazdırma_Alanı_MI">#REF!</definedName>
    <definedName name="_1888_______________________________________________________Yazdırma_Alanı_MI">#REF!</definedName>
    <definedName name="_189_______________________________________________Yazdırma_Alanı_MI">#REF!</definedName>
    <definedName name="_19">#N/A</definedName>
    <definedName name="_19________________________________________________________________________________________________Yazdırma_Alanı_MI">#REF!</definedName>
    <definedName name="_190___Yazdırma_Alanı_MI">#REF!</definedName>
    <definedName name="_1917_____________________________________________________Yazdırma_Alanı_MI">#REF!</definedName>
    <definedName name="_192_____________________________________________Yazdırma_Alanı_MI">#REF!</definedName>
    <definedName name="_192__Yazdırma_Alanı_MI">#REF!</definedName>
    <definedName name="_194_Yazdırma_Alanı_MI">#REF!</definedName>
    <definedName name="_1946____________________________________________________Yazdırma_Alanı_MI">#REF!</definedName>
    <definedName name="_195___________________________________________Yazdırma_Alanı_MI">#REF!</definedName>
    <definedName name="_1975___________________________________________________Yazdırma_Alanı_MI">#REF!</definedName>
    <definedName name="_198_________________________________________Yazdırma_Alanı_MI">#REF!</definedName>
    <definedName name="_1Yazdırma_Alanı_MI">#REF!</definedName>
    <definedName name="_2">#N/A</definedName>
    <definedName name="_2__________________________________________________________________________________________________________________Yazdırma_Alanı_MI">#REF!</definedName>
    <definedName name="_2_________________________________________________________________________________________________________________Yazdırma_Alanı_MI">#REF!</definedName>
    <definedName name="_20">#N/A</definedName>
    <definedName name="_20_________________________________________________________________________________________________________Yazdırma_Alanı_MI">#REF!</definedName>
    <definedName name="_20_______________________________________________________________________________________________Yazdırma_Alanı_MI">#REF!</definedName>
    <definedName name="_2004__________________________________________________Yazdırma_Alanı_MI">#REF!</definedName>
    <definedName name="_201_______________________________________Yazdırma_Alanı_MI">#REF!</definedName>
    <definedName name="_2033_________________________________________________Yazdırma_Alanı_MI">#REF!</definedName>
    <definedName name="_204_____________________________________Yazdırma_Alanı_MI">#REF!</definedName>
    <definedName name="_2062________________________________________________Yazdırma_Alanı_MI">#REF!</definedName>
    <definedName name="_207___________________________________Yazdırma_Alanı_MI">#REF!</definedName>
    <definedName name="_207Yazdırma_Alanı_MI">#REF!</definedName>
    <definedName name="_2091_______________________________________________Yazdırma_Alanı_MI">#REF!</definedName>
    <definedName name="_21">#N/A</definedName>
    <definedName name="_21____________________________________________________________________________________________________________Yazdırma_Alanı_MI">#REF!</definedName>
    <definedName name="_21______________________________________________________________________________________________Yazdırma_Alanı_MI">#REF!</definedName>
    <definedName name="_210_____________________________________________________________________________________________________________Yazdırma_Alanı_MI">#REF!</definedName>
    <definedName name="_210_________________________________Yazdırma_Alanı_MI">#REF!</definedName>
    <definedName name="_2120_____________________________________________Yazdırma_Alanı_MI">#REF!</definedName>
    <definedName name="_213_______________________________Yazdırma_Alanı_MI">#REF!</definedName>
    <definedName name="_2149___________________________________________Yazdırma_Alanı_MI">#REF!</definedName>
    <definedName name="_216_____________________________Yazdırma_Alanı_MI">#REF!</definedName>
    <definedName name="_2178_________________________________________Yazdırma_Alanı_MI">#REF!</definedName>
    <definedName name="_219___________________________Yazdırma_Alanı_MI">#REF!</definedName>
    <definedName name="_21Yazdırma_Alanı_MI">#REF!</definedName>
    <definedName name="_22________________________________________________________________________________________________________Yazdırma_Alanı_MI">#REF!</definedName>
    <definedName name="_22_____________________________________________________________________________________________Yazdırma_Alanı_MI">#REF!</definedName>
    <definedName name="_2207_______________________________________Yazdırma_Alanı_MI">#REF!</definedName>
    <definedName name="_222_________________________Yazdırma_Alanı_MI">#REF!</definedName>
    <definedName name="_2236_____________________________________Yazdırma_Alanı_MI">#REF!</definedName>
    <definedName name="_225_______________________Yazdırma_Alanı_MI">#REF!</definedName>
    <definedName name="_2265___________________________________Yazdırma_Alanı_MI">#REF!</definedName>
    <definedName name="_228______________________Yazdırma_Alanı_MI">#REF!</definedName>
    <definedName name="_2294_________________________________Yazdırma_Alanı_MI">#REF!</definedName>
    <definedName name="_23">#N/A</definedName>
    <definedName name="_23____________________________________________________________________________________________Yazdırma_Alanı_MI">#REF!</definedName>
    <definedName name="_231_____________________Yazdırma_Alanı_MI">#REF!</definedName>
    <definedName name="_2323_______________________________Yazdırma_Alanı_MI">#REF!</definedName>
    <definedName name="_234____________________Yazdırma_Alanı_MI">#REF!</definedName>
    <definedName name="_2352_____________________________Yazdırma_Alanı_MI">#REF!</definedName>
    <definedName name="_237___________________Yazdırma_Alanı_MI">#REF!</definedName>
    <definedName name="_2381___________________________Yazdırma_Alanı_MI">#REF!</definedName>
    <definedName name="_24___________________________________________________________________________________________________________Yazdırma_Alanı_MI">#REF!</definedName>
    <definedName name="_24_______________________________________________________________________________________________________Yazdırma_Alanı_MI">#REF!</definedName>
    <definedName name="_24___________________________________________________________________________________________Yazdırma_Alanı_MI">#REF!</definedName>
    <definedName name="_240__________________Yazdırma_Alanı_MI">#REF!</definedName>
    <definedName name="_2410_________________________Yazdırma_Alanı_MI">#REF!</definedName>
    <definedName name="_243_________________Yazdırma_Alanı_MI">#REF!</definedName>
    <definedName name="_2439_______________________Yazdırma_Alanı_MI">#REF!</definedName>
    <definedName name="_245____________________________________________________________________________________________________________Yazdırma_Alanı_MI">#REF!</definedName>
    <definedName name="_246________________Yazdırma_Alanı_MI">#REF!</definedName>
    <definedName name="_2468______________________Yazdırma_Alanı_MI">#REF!</definedName>
    <definedName name="_249_______________Yazdırma_Alanı_MI">#REF!</definedName>
    <definedName name="_2497_____________________Yazdırma_Alanı_MI">#REF!</definedName>
    <definedName name="_25">#N/A</definedName>
    <definedName name="_25__________________________________________________________________________________________Yazdırma_Alanı_MI">#REF!</definedName>
    <definedName name="_252______________Yazdırma_Alanı_MI">#REF!</definedName>
    <definedName name="_2526____________________Yazdırma_Alanı_MI">#REF!</definedName>
    <definedName name="_255_____________Yazdırma_Alanı_MI">#REF!</definedName>
    <definedName name="_2555___________________Yazdırma_Alanı_MI">#REF!</definedName>
    <definedName name="_258____________Yazdırma_Alanı_MI">#REF!</definedName>
    <definedName name="_2584__________________Yazdırma_Alanı_MI">#REF!</definedName>
    <definedName name="_26">#N/A</definedName>
    <definedName name="_26______________________________________________________________________________________________________Yazdırma_Alanı_MI">#REF!</definedName>
    <definedName name="_26_________________________________________________________________________________________Yazdırma_Alanı_MI">#REF!</definedName>
    <definedName name="_261___________Yazdırma_Alanı_MI">#REF!</definedName>
    <definedName name="_2618_________________Yazdırma_Alanı_MI">#REF!</definedName>
    <definedName name="_264__________Yazdırma_Alanı_MI">#REF!</definedName>
    <definedName name="_2652________________Yazdırma_Alanı_MI">#REF!</definedName>
    <definedName name="_267_________Yazdırma_Alanı_MI">#REF!</definedName>
    <definedName name="_2686_______________Yazdırma_Alanı_MI">#REF!</definedName>
    <definedName name="_27">#N/A</definedName>
    <definedName name="_27__________________________________________________________________________________________________________Yazdırma_Alanı_MI">#REF!</definedName>
    <definedName name="_27________________________________________________________________________________________Yazdırma_Alanı_MI">#REF!</definedName>
    <definedName name="_270________Yazdırma_Alanı_MI">#REF!</definedName>
    <definedName name="_2720______________Yazdırma_Alanı_MI">#REF!</definedName>
    <definedName name="_273_______Yazdırma_Alanı_MI">#REF!</definedName>
    <definedName name="_2754_____________Yazdırma_Alanı_MI">#REF!</definedName>
    <definedName name="_276______Yazdırma_Alanı_MI">#REF!</definedName>
    <definedName name="_2788____________Yazdırma_Alanı_MI">#REF!</definedName>
    <definedName name="_279_____Yazdırma_Alanı_MI">#REF!</definedName>
    <definedName name="_28">#N/A</definedName>
    <definedName name="_28_____________________________________________________________________________________________________Yazdırma_Alanı_MI">#REF!</definedName>
    <definedName name="_28_______________________________________________________________________________________Yazdırma_Alanı_MI">#REF!</definedName>
    <definedName name="_280___________________________________________________________________________________________________________Yazdırma_Alanı_MI">#REF!</definedName>
    <definedName name="_282____Yazdırma_Alanı_MI">#REF!</definedName>
    <definedName name="_2822___________Yazdırma_Alanı_MI">#REF!</definedName>
    <definedName name="_285___Yazdırma_Alanı_MI">#REF!</definedName>
    <definedName name="_2856__________Yazdırma_Alanı_MI">#REF!</definedName>
    <definedName name="_288__Yazdırma_Alanı_MI">#REF!</definedName>
    <definedName name="_2890_________Yazdırma_Alanı_MI">#REF!</definedName>
    <definedName name="_28Yazdırma_Alanı_MI">#REF!</definedName>
    <definedName name="_29______________________________________________________________________________________Yazdırma_Alanı_MI">#REF!</definedName>
    <definedName name="_291_Yazdırma_Alanı_MI">#REF!</definedName>
    <definedName name="_2924________Yazdırma_Alanı_MI">#REF!</definedName>
    <definedName name="_294Yazdırma_Alanı_MI">#REF!</definedName>
    <definedName name="_2958_______Yazdırma_Alanı_MI">#REF!</definedName>
    <definedName name="_2992______Yazdırma_Alanı_MI">#REF!</definedName>
    <definedName name="_29Yazdırma_Alanı_MI">#REF!</definedName>
    <definedName name="_2Yazdırma_Alanı_MI">#REF!</definedName>
    <definedName name="_3">#N/A</definedName>
    <definedName name="_3__________________________________________________________________________________________________________________Yazdırma_Alanı_MI">#REF!</definedName>
    <definedName name="_3________________________________________________________________________________________________________________Yazdırma_Alanı_MI">#REF!</definedName>
    <definedName name="_30_________________________________________________________________________________________________________Yazdırma_Alanı_MI">#REF!</definedName>
    <definedName name="_30____________________________________________________________________________________________________Yazdırma_Alanı_MI">#REF!</definedName>
    <definedName name="_30_____________________________________________________________________________________Yazdırma_Alanı_MI">#REF!</definedName>
    <definedName name="_3026_____Yazdırma_Alanı_MI">#REF!</definedName>
    <definedName name="_3060____Yazdırma_Alanı_MI">#REF!</definedName>
    <definedName name="_3094___Yazdırma_Alanı_MI">#REF!</definedName>
    <definedName name="_31">#N/A</definedName>
    <definedName name="_31____________________________________________________________________________________Yazdırma_Alanı_MI">#REF!</definedName>
    <definedName name="_3128__Yazdırma_Alanı_MI">#REF!</definedName>
    <definedName name="_315__________________________________________________________________________________________________________Yazdırma_Alanı_MI">#REF!</definedName>
    <definedName name="_3162_Yazdırma_Alanı_MI">#REF!</definedName>
    <definedName name="_32">#N/A</definedName>
    <definedName name="_32___________________________________________________________________________________________________Yazdırma_Alanı_MI">#REF!</definedName>
    <definedName name="_32___________________________________________________________________________________Yazdırma_Alanı_MI">#REF!</definedName>
    <definedName name="_3239Yazdırma_Alanı_MI">#REF!</definedName>
    <definedName name="_33">#N/A</definedName>
    <definedName name="_33________________________________________________________________________________________________________Yazdırma_Alanı_MI">#REF!</definedName>
    <definedName name="_33__________________________________________________________________________________Yazdırma_Alanı_MI">#REF!</definedName>
    <definedName name="_34__________________________________________________________________________________________________Yazdırma_Alanı_MI">#REF!</definedName>
    <definedName name="_34_________________________________________________________________________________Yazdırma_Alanı_MI">#REF!</definedName>
    <definedName name="_35">#N/A</definedName>
    <definedName name="_35__________________________________________________________________________________________________________________Yazdırma_Alanı_MI">#REF!</definedName>
    <definedName name="_35________________________________________________________________________________Yazdırma_Alanı_MI">#REF!</definedName>
    <definedName name="_350_________________________________________________________________________________________________________Yazdırma_Alanı_MI">#REF!</definedName>
    <definedName name="_36_______________________________________________________________________________________________________Yazdırma_Alanı_MI">#REF!</definedName>
    <definedName name="_36_________________________________________________________________________________________________Yazdırma_Alanı_MI">#REF!</definedName>
    <definedName name="_36_______________________________________________________________________________Yazdırma_Alanı_MI">#REF!</definedName>
    <definedName name="_36A">#N/A</definedName>
    <definedName name="_37">#N/A</definedName>
    <definedName name="_37______________________________________________________________________________Yazdırma_Alanı_MI">#REF!</definedName>
    <definedName name="_38">#N/A</definedName>
    <definedName name="_38________________________________________________________________________________________________Yazdırma_Alanı_MI">#REF!</definedName>
    <definedName name="_38_____________________________________________________________________________Yazdırma_Alanı_MI">#REF!</definedName>
    <definedName name="_385________________________________________________________________________________________________________Yazdırma_Alanı_MI">#REF!</definedName>
    <definedName name="_39">#N/A</definedName>
    <definedName name="_39______________________________________________________________________________________________________Yazdırma_Alanı_MI">#REF!</definedName>
    <definedName name="_39____________________________________________________________________________Yazdırma_Alanı_MI">#REF!</definedName>
    <definedName name="_3Yazdırma_Alanı_MI">#REF!</definedName>
    <definedName name="_4">#N/A</definedName>
    <definedName name="_4_________________________________________________________________________________________________________________Yazdırma_Alanı_MI">#REF!</definedName>
    <definedName name="_4_______________________________________________________________________________________________________________Yazdırma_Alanı_MI">#REF!</definedName>
    <definedName name="_40">#N/A</definedName>
    <definedName name="_40_______________________________________________________________________________________________Yazdırma_Alanı_MI">#REF!</definedName>
    <definedName name="_40___________________________________________________________________________Yazdırma_Alanı_MI">#REF!</definedName>
    <definedName name="_41">#N/A</definedName>
    <definedName name="_41__________________________________________________________________________Yazdırma_Alanı_MI">#REF!</definedName>
    <definedName name="_42_____________________________________________________________________________________________________Yazdırma_Alanı_MI">#REF!</definedName>
    <definedName name="_42______________________________________________________________________________________________Yazdırma_Alanı_MI">#REF!</definedName>
    <definedName name="_42_________________________________________________________________________Yazdırma_Alanı_MI">#REF!</definedName>
    <definedName name="_420_______________________________________________________________________________________________________Yazdırma_Alanı_MI">#REF!</definedName>
    <definedName name="_43________________________________________________________________________Yazdırma_Alanı_MI">#REF!</definedName>
    <definedName name="_44_____________________________________________________________________________________________Yazdırma_Alanı_MI">#REF!</definedName>
    <definedName name="_44_______________________________________________________________________Yazdırma_Alanı_MI">#REF!</definedName>
    <definedName name="_45____________________________________________________________________________________________________Yazdırma_Alanı_MI">#REF!</definedName>
    <definedName name="_45______________________________________________________________________Yazdırma_Alanı_MI">#REF!</definedName>
    <definedName name="_455______________________________________________________________________________________________________Yazdırma_Alanı_MI">#REF!</definedName>
    <definedName name="_46">#N/A</definedName>
    <definedName name="_46____________________________________________________________________________________________Yazdırma_Alanı_MI">#REF!</definedName>
    <definedName name="_46_____________________________________________________________________Yazdırma_Alanı_MI">#REF!</definedName>
    <definedName name="_47____________________________________________________________________Yazdırma_Alanı_MI">#REF!</definedName>
    <definedName name="_47A">#N/A</definedName>
    <definedName name="_48">#N/A</definedName>
    <definedName name="_48___________________________________________________________________________________________________Yazdırma_Alanı_MI">#REF!</definedName>
    <definedName name="_48___________________________________________________________________________________________Yazdırma_Alanı_MI">#REF!</definedName>
    <definedName name="_48___________________________________________________________________Yazdırma_Alanı_MI">#REF!</definedName>
    <definedName name="_49__________________________________________________________________Yazdırma_Alanı_MI">#REF!</definedName>
    <definedName name="_490_____________________________________________________________________________________________________Yazdırma_Alanı_MI">#REF!</definedName>
    <definedName name="_4Yazdırma_Alanı_MI">#REF!</definedName>
    <definedName name="_5">#N/A</definedName>
    <definedName name="_5______________________________________________________________________________________________________________Yazdırma_Alanı_MI">#REF!</definedName>
    <definedName name="_50__________________________________________________________________________________________Yazdırma_Alanı_MI">#REF!</definedName>
    <definedName name="_50_________________________________________________________________Yazdırma_Alanı_MI">#REF!</definedName>
    <definedName name="_51">#N/A</definedName>
    <definedName name="_51__________________________________________________________________________________________________Yazdırma_Alanı_MI">#REF!</definedName>
    <definedName name="_51________________________________________________________________Yazdırma_Alanı_MI">#REF!</definedName>
    <definedName name="_52">#N/A</definedName>
    <definedName name="_52_________________________________________________________________________________________Yazdırma_Alanı_MI">#REF!</definedName>
    <definedName name="_52_______________________________________________________________Yazdırma_Alanı_MI">#REF!</definedName>
    <definedName name="_525____________________________________________________________________________________________________Yazdırma_Alanı_MI">#REF!</definedName>
    <definedName name="_53_____________________________________________________________Yazdırma_Alanı_MI">#REF!</definedName>
    <definedName name="_54_________________________________________________________________________________________________Yazdırma_Alanı_MI">#REF!</definedName>
    <definedName name="_54________________________________________________________________________________________Yazdırma_Alanı_MI">#REF!</definedName>
    <definedName name="_54___________________________________________________________Yazdırma_Alanı_MI">#REF!</definedName>
    <definedName name="_55_________________________________________________________Yazdırma_Alanı_MI">#REF!</definedName>
    <definedName name="_56_______________________________________________________________________________________Yazdırma_Alanı_MI">#REF!</definedName>
    <definedName name="_56_______________________________________________________Yazdırma_Alanı_MI">#REF!</definedName>
    <definedName name="_560___________________________________________________________________________________________________Yazdırma_Alanı_MI">#REF!</definedName>
    <definedName name="_57________________________________________________________________________________________________Yazdırma_Alanı_MI">#REF!</definedName>
    <definedName name="_57_____________________________________________________Yazdırma_Alanı_MI">#REF!</definedName>
    <definedName name="_58______________________________________________________________________________________Yazdırma_Alanı_MI">#REF!</definedName>
    <definedName name="_58____________________________________________________Yazdırma_Alanı_MI">#REF!</definedName>
    <definedName name="_59___________________________________________________Yazdırma_Alanı_MI">#REF!</definedName>
    <definedName name="_595__________________________________________________________________________________________________Yazdırma_Alanı_MI">#REF!</definedName>
    <definedName name="_5Yazdırma_Alanı_MI">#REF!</definedName>
    <definedName name="_6">#N/A</definedName>
    <definedName name="_6_________________________________________________________________________________________________________________Yazdırma_Alanı_MI">#REF!</definedName>
    <definedName name="_6________________________________________________________________________________________________________________Yazdırma_Alanı_MI">#REF!</definedName>
    <definedName name="_6_____________________________________________________________________________________________________________Yazdırma_Alanı_MI">#REF!</definedName>
    <definedName name="_60_______________________________________________________________________________________________Yazdırma_Alanı_MI">#REF!</definedName>
    <definedName name="_60_____________________________________________________________________________________Yazdırma_Alanı_MI">#REF!</definedName>
    <definedName name="_60__________________________________________________Yazdırma_Alanı_MI">#REF!</definedName>
    <definedName name="_61_________________________________________________Yazdırma_Alanı_MI">#REF!</definedName>
    <definedName name="_62____________________________________________________________________________________Yazdırma_Alanı_MI">#REF!</definedName>
    <definedName name="_62________________________________________________Yazdırma_Alanı_MI">#REF!</definedName>
    <definedName name="_63______________________________________________________________________________________________Yazdırma_Alanı_MI">#REF!</definedName>
    <definedName name="_63_______________________________________________Yazdırma_Alanı_MI">#REF!</definedName>
    <definedName name="_630_________________________________________________________________________________________________Yazdırma_Alanı_MI">#REF!</definedName>
    <definedName name="_64___________________________________________________________________________________Yazdırma_Alanı_MI">#REF!</definedName>
    <definedName name="_64_____________________________________________Yazdırma_Alanı_MI">#REF!</definedName>
    <definedName name="_65___________________________________________Yazdırma_Alanı_MI">#REF!</definedName>
    <definedName name="_66_____________________________________________________________________________________________Yazdırma_Alanı_MI">#REF!</definedName>
    <definedName name="_66__________________________________________________________________________________Yazdırma_Alanı_MI">#REF!</definedName>
    <definedName name="_66_________________________________________Yazdırma_Alanı_MI">#REF!</definedName>
    <definedName name="_665________________________________________________________________________________________________Yazdırma_Alanı_MI">#REF!</definedName>
    <definedName name="_67_______________________________________Yazdırma_Alanı_MI">#REF!</definedName>
    <definedName name="_68_________________________________________________________________________________Yazdırma_Alanı_MI">#REF!</definedName>
    <definedName name="_68_____________________________________Yazdırma_Alanı_MI">#REF!</definedName>
    <definedName name="_69____________________________________________________________________________________________Yazdırma_Alanı_MI">#REF!</definedName>
    <definedName name="_69___________________________________Yazdırma_Alanı_MI">#REF!</definedName>
    <definedName name="_6Yazdırma_Alanı_MI">#REF!</definedName>
    <definedName name="_7">#N/A</definedName>
    <definedName name="_7____________________________________________________________________________________________________________Yazdırma_Alanı_MI">#REF!</definedName>
    <definedName name="_70_________________________________________________________________________________________________________________Yazdırma_Alanı_MI">#REF!</definedName>
    <definedName name="_70________________________________________________________________________________Yazdırma_Alanı_MI">#REF!</definedName>
    <definedName name="_70_________________________________Yazdırma_Alanı_MI">#REF!</definedName>
    <definedName name="_700_______________________________________________________________________________________________Yazdırma_Alanı_MI">#REF!</definedName>
    <definedName name="_71_______________________________Yazdırma_Alanı_MI">#REF!</definedName>
    <definedName name="_72___________________________________________________________________________________________Yazdırma_Alanı_MI">#REF!</definedName>
    <definedName name="_72_______________________________________________________________________________Yazdırma_Alanı_MI">#REF!</definedName>
    <definedName name="_72_____________________________Yazdırma_Alanı_MI">#REF!</definedName>
    <definedName name="_73___________________________Yazdırma_Alanı_MI">#REF!</definedName>
    <definedName name="_735______________________________________________________________________________________________Yazdırma_Alanı_MI">#REF!</definedName>
    <definedName name="_74______________________________________________________________________________Yazdırma_Alanı_MI">#REF!</definedName>
    <definedName name="_74_________________________Yazdırma_Alanı_MI">#REF!</definedName>
    <definedName name="_75__________________________________________________________________________________________Yazdırma_Alanı_MI">#REF!</definedName>
    <definedName name="_75_______________________Yazdırma_Alanı_MI">#REF!</definedName>
    <definedName name="_76_____________________________________________________________________________Yazdırma_Alanı_MI">#REF!</definedName>
    <definedName name="_76______________________Yazdırma_Alanı_MI">#REF!</definedName>
    <definedName name="_77_____________________Yazdırma_Alanı_MI">#REF!</definedName>
    <definedName name="_770_____________________________________________________________________________________________Yazdırma_Alanı_MI">#REF!</definedName>
    <definedName name="_78_________________________________________________________________________________________Yazdırma_Alanı_MI">#REF!</definedName>
    <definedName name="_78____________________________________________________________________________Yazdırma_Alanı_MI">#REF!</definedName>
    <definedName name="_78____________________Yazdırma_Alanı_MI">#REF!</definedName>
    <definedName name="_79___________________Yazdırma_Alanı_MI">#REF!</definedName>
    <definedName name="_7A">#N/A</definedName>
    <definedName name="_8">#N/A</definedName>
    <definedName name="_8_______________________________________________________________________________________________________________Yazdırma_Alanı_MI">#REF!</definedName>
    <definedName name="_8___________________________________________________________________________________________________________Yazdırma_Alanı_MI">#REF!</definedName>
    <definedName name="_80___________________________________________________________________________Yazdırma_Alanı_MI">#REF!</definedName>
    <definedName name="_80__________________Yazdırma_Alanı_MI">#REF!</definedName>
    <definedName name="_805____________________________________________________________________________________________Yazdırma_Alanı_MI">#REF!</definedName>
    <definedName name="_81________________________________________________________________________________________Yazdırma_Alanı_MI">#REF!</definedName>
    <definedName name="_81_________________Yazdırma_Alanı_MI">#REF!</definedName>
    <definedName name="_82__________________________________________________________________________Yazdırma_Alanı_MI">#REF!</definedName>
    <definedName name="_82________________Yazdırma_Alanı_MI">#REF!</definedName>
    <definedName name="_83_______________Yazdırma_Alanı_MI">#REF!</definedName>
    <definedName name="_84_______________________________________________________________________________________Yazdırma_Alanı_MI">#REF!</definedName>
    <definedName name="_84_________________________________________________________________________Yazdırma_Alanı_MI">#REF!</definedName>
    <definedName name="_84______________Yazdırma_Alanı_MI">#REF!</definedName>
    <definedName name="_840___________________________________________________________________________________________Yazdırma_Alanı_MI">#REF!</definedName>
    <definedName name="_85_____________Yazdırma_Alanı_MI">#REF!</definedName>
    <definedName name="_86________________________________________________________________________Yazdırma_Alanı_MI">#REF!</definedName>
    <definedName name="_86____________Yazdırma_Alanı_MI">#REF!</definedName>
    <definedName name="_87______________________________________________________________________________________Yazdırma_Alanı_MI">#REF!</definedName>
    <definedName name="_87___________Yazdırma_Alanı_MI">#REF!</definedName>
    <definedName name="_875__________________________________________________________________________________________Yazdırma_Alanı_MI">#REF!</definedName>
    <definedName name="_88_______________________________________________________________________Yazdırma_Alanı_MI">#REF!</definedName>
    <definedName name="_88__________Yazdırma_Alanı_MI">#REF!</definedName>
    <definedName name="_89_________Yazdırma_Alanı_MI">#REF!</definedName>
    <definedName name="_8A">#N/A</definedName>
    <definedName name="_9">#N/A</definedName>
    <definedName name="_9________________________________________________________________________________________________________________Yazdırma_Alanı_MI">#REF!</definedName>
    <definedName name="_9__________________________________________________________________________________________________________Yazdırma_Alanı_MI">#REF!</definedName>
    <definedName name="_90_____________________________________________________________________________________Yazdırma_Alanı_MI">#REF!</definedName>
    <definedName name="_90______________________________________________________________________Yazdırma_Alanı_MI">#REF!</definedName>
    <definedName name="_90________Yazdırma_Alanı_MI">#REF!</definedName>
    <definedName name="_91_______Yazdırma_Alanı_MI">#REF!</definedName>
    <definedName name="_910_________________________________________________________________________________________Yazdırma_Alanı_MI">#REF!</definedName>
    <definedName name="_92_____________________________________________________________________Yazdırma_Alanı_MI">#REF!</definedName>
    <definedName name="_92______Yazdırma_Alanı_MI">#REF!</definedName>
    <definedName name="_93____________________________________________________________________________________Yazdırma_Alanı_MI">#REF!</definedName>
    <definedName name="_93_____Yazdırma_Alanı_MI">#REF!</definedName>
    <definedName name="_94____________________________________________________________________Yazdırma_Alanı_MI">#REF!</definedName>
    <definedName name="_94____Yazdırma_Alanı_MI">#REF!</definedName>
    <definedName name="_945________________________________________________________________________________________Yazdırma_Alanı_MI">#REF!</definedName>
    <definedName name="_95___Yazdırma_Alanı_MI">#REF!</definedName>
    <definedName name="_96___________________________________________________________________________________Yazdırma_Alanı_MI">#REF!</definedName>
    <definedName name="_96___________________________________________________________________Yazdırma_Alanı_MI">#REF!</definedName>
    <definedName name="_96__Yazdırma_Alanı_MI">#REF!</definedName>
    <definedName name="_97_Yazdırma_Alanı_MI">#REF!</definedName>
    <definedName name="_98__________________________________________________________________Yazdırma_Alanı_MI">#REF!</definedName>
    <definedName name="_980_______________________________________________________________________________________Yazdırma_Alanı_MI">#REF!</definedName>
    <definedName name="_99__________________________________________________________________________________Yazdırma_Alanı_MI">#REF!</definedName>
    <definedName name="_a1">#REF!</definedName>
    <definedName name="_a2">#REF!</definedName>
    <definedName name="_a23325">#REF!</definedName>
    <definedName name="_a3">#REF!</definedName>
    <definedName name="_ARA1">'[8]KM KANATLI'!#REF!</definedName>
    <definedName name="_ARA2">'[8]KM KANATLI'!#REF!</definedName>
    <definedName name="_b1">#REF!</definedName>
    <definedName name="_b2">#REF!</definedName>
    <definedName name="_b3">#REF!</definedName>
    <definedName name="_c1">#REF!</definedName>
    <definedName name="_c2">#REF!</definedName>
    <definedName name="_c3">#REF!</definedName>
    <definedName name="_cont" localSheetId="0">'[17]S102.1'!$H$9</definedName>
    <definedName name="_cont">'[18]S102.1'!$H$9</definedName>
    <definedName name="_d1">#REF!</definedName>
    <definedName name="_d2">#REF!</definedName>
    <definedName name="_d3">#REF!</definedName>
    <definedName name="_de2">[5]yENİCE!#REF!</definedName>
    <definedName name="_Fill" hidden="1">#REF!</definedName>
    <definedName name="_xlnm._FilterDatabase" hidden="1">#REF!</definedName>
    <definedName name="_HCO3">#REF!</definedName>
    <definedName name="_IX1">'[9]103+390-107+250'!$IV$1:$IV$65536</definedName>
    <definedName name="_IZ1">'[9]103+390-107+250'!$IU$1</definedName>
    <definedName name="_OPO4">#REF!</definedName>
    <definedName name="_s121">#REF!</definedName>
    <definedName name="_SO4">#REF!</definedName>
    <definedName name="_SOZ1">#REF!</definedName>
    <definedName name="_SOZ2">#REF!</definedName>
    <definedName name="_SOZ3">#REF!</definedName>
    <definedName name="_SOZ4">#REF!</definedName>
    <definedName name="_SOZ5">#REF!</definedName>
    <definedName name="_SOZ6">#REF!</definedName>
    <definedName name="_sy4">#REF!</definedName>
    <definedName name="_T1">[5]yENİCE!#REF!</definedName>
    <definedName name="_Tab21">#REF!</definedName>
    <definedName name="_TIP1">'[8]KM KANATLI'!#REF!</definedName>
    <definedName name="_TIP2">'[8]KM KANATLI'!#REF!</definedName>
    <definedName name="_TMAutoChartCount" hidden="1">1</definedName>
    <definedName name="_xx1">#REF!</definedName>
    <definedName name="a">#REF!</definedName>
    <definedName name="a.1">'[19]2633'!$D$75</definedName>
    <definedName name="a.2">'[19]2633'!$G$75</definedName>
    <definedName name="a.3">'[19]2633'!$J$75</definedName>
    <definedName name="a1_">#REF!</definedName>
    <definedName name="a100_">#REF!</definedName>
    <definedName name="a2_">#REF!</definedName>
    <definedName name="a233_">#REF!</definedName>
    <definedName name="a3_">#REF!</definedName>
    <definedName name="a4_">#REF!</definedName>
    <definedName name="aa">#REF!</definedName>
    <definedName name="AA.1">#REF!</definedName>
    <definedName name="aa_14">[20]yENİCE!#REF!</definedName>
    <definedName name="aaa">#REF!</definedName>
    <definedName name="aaaaa" localSheetId="0">[3]yENİCE!#REF!</definedName>
    <definedName name="aaaaa">[4]yENİCE!#REF!</definedName>
    <definedName name="aaaaaaaa">#REF!</definedName>
    <definedName name="aaaaaaaaaa">#REF!</definedName>
    <definedName name="aaaaaaaaaaaaaaaaaaaaaaaaaaaaaaaaaa">#REF!</definedName>
    <definedName name="aaaaaaaaaaaaaaaaaaaaaaaaaaaaaaaaaaaaaaa">#REF!</definedName>
    <definedName name="ab" localSheetId="0">#N/A</definedName>
    <definedName name="ab">OFFSET([21]Sheet3!$U$4,1,0,[22]!datayıl,1)</definedName>
    <definedName name="ABOLGE">#REF!</definedName>
    <definedName name="ad" localSheetId="0">'[23]tarla CIKTI'!#REF!</definedName>
    <definedName name="ad">'[24]tarla CIKTI'!#REF!</definedName>
    <definedName name="AGIalani">[25]Giris!$C$6</definedName>
    <definedName name="ak" localSheetId="0">'[23]tarla CIKTI'!#REF!</definedName>
    <definedName name="ak">'[24]tarla CIKTI'!#REF!</definedName>
    <definedName name="AktifYil">[26]Kisan_Ref_BF!$D$1</definedName>
    <definedName name="AktifYilSut">[26]Kisan_Ref_BF!$D$2</definedName>
    <definedName name="Alan" localSheetId="0">[27]Sheet1!$F$8</definedName>
    <definedName name="Alan">[28]Sheet1!$F$8</definedName>
    <definedName name="AnalizTarih">[26]Kisan_Ref_BF!$E$2</definedName>
    <definedName name="ar" localSheetId="0">'[23]tarla CIKTI'!#REF!</definedName>
    <definedName name="ar">'[24]tarla CIKTI'!#REF!</definedName>
    <definedName name="ara" localSheetId="0">'[23]tarla CIKTI'!#REF!</definedName>
    <definedName name="ara">'[24]tarla CIKTI'!#REF!</definedName>
    <definedName name="as">#REF!</definedName>
    <definedName name="as_" localSheetId="0">[29]input!$C$17</definedName>
    <definedName name="as_">[30]input!$C$17</definedName>
    <definedName name="at_" localSheetId="0">[29]input!$C$22</definedName>
    <definedName name="at_">[30]input!$C$22</definedName>
    <definedName name="AY">'[31]ZAM TARİHLERİ'!#REF!</definedName>
    <definedName name="AYKIR" localSheetId="0">'[32]tarla CIKTI'!#REF!</definedName>
    <definedName name="AYKIR">'[33]tarla CIKTI'!#REF!</definedName>
    <definedName name="az" localSheetId="0">'[23]tarla CIKTI'!#REF!</definedName>
    <definedName name="az">'[24]tarla CIKTI'!#REF!</definedName>
    <definedName name="AzalmaOrani">#REF!</definedName>
    <definedName name="b">#REF!</definedName>
    <definedName name="b.1">'[19]2633'!$D$76</definedName>
    <definedName name="b.2">'[19]2633'!$G$76</definedName>
    <definedName name="b.3">'[19]2633'!$J$76</definedName>
    <definedName name="b1_">#REF!</definedName>
    <definedName name="b100_">#REF!</definedName>
    <definedName name="b2_">#REF!</definedName>
    <definedName name="b233_">#REF!</definedName>
    <definedName name="b3_">#REF!</definedName>
    <definedName name="b4_">#REF!</definedName>
    <definedName name="BAS">#N/A</definedName>
    <definedName name="BasMuhAdSoyad">[26]Kisan_Ref_BF!$B$5</definedName>
    <definedName name="BasMuhUnvan">[26]Kisan_Ref_BF!$C$5</definedName>
    <definedName name="baz">#REF!</definedName>
    <definedName name="BBOLGE">#REF!</definedName>
    <definedName name="BFAlan">[26]Kisan_Ref_BF!$A$9:$K$2025</definedName>
    <definedName name="BFTablosu">[34]Sayfa1!$B$3:$H$4847</definedName>
    <definedName name="bnmjhkh">#REF!</definedName>
    <definedName name="BOD">#REF!</definedName>
    <definedName name="BOYA">'[35]35'!$F$5:$F$13</definedName>
    <definedName name="bs_" localSheetId="0">[29]input!$C$18</definedName>
    <definedName name="bs_">[30]input!$C$18</definedName>
    <definedName name="bt_" localSheetId="0">[29]input!$C$23</definedName>
    <definedName name="bt_">[30]input!$C$23</definedName>
    <definedName name="BULANIK">#REF!</definedName>
    <definedName name="c.1">'[19]2633'!$D$77</definedName>
    <definedName name="c.2">'[19]2633'!$G$77</definedName>
    <definedName name="c.3">'[19]2633'!$J$77</definedName>
    <definedName name="CA">#REF!</definedName>
    <definedName name="CAMG">#REF!</definedName>
    <definedName name="cc">#REF!</definedName>
    <definedName name="cc_1">#REF!</definedName>
    <definedName name="cc1_">#REF!</definedName>
    <definedName name="ce">#REF!</definedName>
    <definedName name="cebriboru">#REF!</definedName>
    <definedName name="cemal">#REF!</definedName>
    <definedName name="cenk">#REF!</definedName>
    <definedName name="chtx" localSheetId="0">#N/A</definedName>
    <definedName name="chtx">OFFSET([21]Sheet3!$C$4,1,0,datasayı,1)</definedName>
    <definedName name="chtx1" localSheetId="0">#N/A</definedName>
    <definedName name="chtx1">OFFSET([21]Sheet3!$E$4,1,0,datasayı,1)</definedName>
    <definedName name="chtx2" localSheetId="0">#N/A</definedName>
    <definedName name="chtx2">OFFSET([21]Sheet3!$G$4,1,0,datasayı,1)</definedName>
    <definedName name="chtx3" localSheetId="0">#N/A</definedName>
    <definedName name="chtx3">OFFSET([21]Sheet3!$I$4,1,0,datasayı,1)</definedName>
    <definedName name="chtx4" localSheetId="0">#N/A</definedName>
    <definedName name="chtx4">OFFSET([21]Sheet3!$K$4,1,0,datasayı,1)</definedName>
    <definedName name="chtx5" localSheetId="0">#N/A</definedName>
    <definedName name="chtx5">OFFSET([21]Sheet3!$M$4,1,0,datasayı,1)</definedName>
    <definedName name="chtx6" localSheetId="0">#N/A</definedName>
    <definedName name="chtx6">OFFSET([21]Sheet3!$O$4,1,0,datasayı,1)</definedName>
    <definedName name="chtx7" localSheetId="0">OFFSET([21]Sheet3!$Q$4,1,0,datayıl,1)</definedName>
    <definedName name="chtx7">OFFSET([21]Sheet3!$Q$4,1,0,datayıl,1)</definedName>
    <definedName name="chtx8" localSheetId="0">OFFSET([21]Sheet3!$S$4,1,0,datayıl,1)</definedName>
    <definedName name="chtx8">OFFSET([21]Sheet3!$S$4,1,0,datayıl,1)</definedName>
    <definedName name="chtx9" localSheetId="0">OFFSET([21]Sheet3!$U$4,1,0,datayıl,1)</definedName>
    <definedName name="chtx9">OFFSET([21]Sheet3!$U$4,1,0,datayıl,1)</definedName>
    <definedName name="chty" localSheetId="0">OFFSET(KAVŞAKKAYA!chtx,0,1,,)</definedName>
    <definedName name="chty">OFFSET(chtx,0,1,,)</definedName>
    <definedName name="chty1" localSheetId="0">OFFSET(KAVŞAKKAYA!chtx1,0,1,,)</definedName>
    <definedName name="chty1">OFFSET(chtx1,0,1,,)</definedName>
    <definedName name="chty2" localSheetId="0">OFFSET(KAVŞAKKAYA!chtx2,0,1,,)</definedName>
    <definedName name="chty2">OFFSET(chtx2,0,1,,)</definedName>
    <definedName name="chty3" localSheetId="0">OFFSET(KAVŞAKKAYA!chtx3,0,1,,)</definedName>
    <definedName name="chty3">OFFSET(chtx3,0,1,,)</definedName>
    <definedName name="chty4" localSheetId="0">OFFSET(KAVŞAKKAYA!chtx4,0,1,,)</definedName>
    <definedName name="chty4">OFFSET(chtx4,0,1,,)</definedName>
    <definedName name="chty5" localSheetId="0">OFFSET(KAVŞAKKAYA!chtx5,0,1,,)</definedName>
    <definedName name="chty5">OFFSET(chtx5,0,1,,)</definedName>
    <definedName name="chty6" localSheetId="0">OFFSET(KAVŞAKKAYA!chtx6,0,1,,)</definedName>
    <definedName name="chty6">OFFSET(chtx6,0,1,,)</definedName>
    <definedName name="chty7" localSheetId="0">OFFSET(KAVŞAKKAYA!chtx7,0,1,,)</definedName>
    <definedName name="chty7">OFFSET(chtx7,0,1,,)</definedName>
    <definedName name="chty8" localSheetId="0">OFFSET(KAVŞAKKAYA!chtx8,0,1,,)</definedName>
    <definedName name="chty8">OFFSET(chtx8,0,1,,)</definedName>
    <definedName name="chty9" localSheetId="0">OFFSET(KAVŞAKKAYA!chtx9,0,1,,)</definedName>
    <definedName name="chty9">OFFSET(chtx9,0,1,,)</definedName>
    <definedName name="CL">#REF!</definedName>
    <definedName name="CO">#REF!</definedName>
    <definedName name="CO3_">#REF!</definedName>
    <definedName name="CURRENCY">[36]Sheet1!$L$25</definedName>
    <definedName name="d">#REF!</definedName>
    <definedName name="DAMLA" localSheetId="0">[37]CIKTI!#REF!</definedName>
    <definedName name="DAMLA">[38]CIKTI!#REF!</definedName>
    <definedName name="damla1">[39]CIKTI!#REF!</definedName>
    <definedName name="data1" localSheetId="0">'[40]İ9-4.3B'!$B$6:$B$11</definedName>
    <definedName name="data1">'[41]İ9-4.3B'!$B$6:$B$11</definedName>
    <definedName name="data2" localSheetId="0">'[42]129-2B'!$B$6:$B$13</definedName>
    <definedName name="data2">'[43]129-2B'!$B$6:$B$13</definedName>
    <definedName name="data3">#REF!</definedName>
    <definedName name="data4">#REF!</definedName>
    <definedName name="data5">#REF!</definedName>
    <definedName name="_xlnm.Database">#REF!</definedName>
    <definedName name="datasayı">[21]Sheet3!$A$4</definedName>
    <definedName name="datayıl">[21]Sheet3!$A$8</definedName>
    <definedName name="dd">[5]yENİCE!#REF!</definedName>
    <definedName name="dddd" localSheetId="0">[7]yENİCE!#REF!</definedName>
    <definedName name="dddd">[4]yENİCE!#REF!</definedName>
    <definedName name="Debi1">[44]yENİCE!#REF!</definedName>
    <definedName name="Debi1_11">[20]yENİCE!#REF!</definedName>
    <definedName name="Debi1_12">[45]yENİCE!#REF!</definedName>
    <definedName name="Debi1_13">[45]yENİCE!#REF!</definedName>
    <definedName name="Debi1_14">[6]yENİCE!#REF!</definedName>
    <definedName name="Debi1_3">[6]yENİCE!#REF!</definedName>
    <definedName name="Debi1_5">[6]yENİCE!#REF!</definedName>
    <definedName name="Debi1_6">[6]yENİCE!#REF!</definedName>
    <definedName name="debi2" localSheetId="0">[7]yENİCE!#REF!</definedName>
    <definedName name="debi2">[4]yENİCE!#REF!</definedName>
    <definedName name="depolamakatsayisi">#REF!</definedName>
    <definedName name="dfgfh">#REF!</definedName>
    <definedName name="dfgh">#REF!</definedName>
    <definedName name="DIL">[36]Sheet1!$E$68</definedName>
    <definedName name="DO">#REF!</definedName>
    <definedName name="Donen">[46]SulMvc!$Q$6</definedName>
    <definedName name="Dönen">[19]Sulamalar!#REF!</definedName>
    <definedName name="DonusOrani">#REF!</definedName>
    <definedName name="drena">#REF!</definedName>
    <definedName name="dsads">#REF!</definedName>
    <definedName name="DuzenleyenAdiSoyadi">[34]Sayfa1!$B$3</definedName>
    <definedName name="Düzenleyengörevi">[34]Sayfa1!$C$3</definedName>
    <definedName name="Duzlt">#REF!</definedName>
    <definedName name="e">#REF!</definedName>
    <definedName name="e1_ara">'[8]KM KANATLI'!#REF!</definedName>
    <definedName name="e3_ara">'[8]KM KANATLI'!#REF!</definedName>
    <definedName name="e4_ara">'[8]KM KANATLI'!#REF!</definedName>
    <definedName name="EC">#REF!</definedName>
    <definedName name="EE">#REF!</definedName>
    <definedName name="eeeee">#REF!</definedName>
    <definedName name="eeeeee">#REF!</definedName>
    <definedName name="eeeeeeeee">#REF!</definedName>
    <definedName name="eeeeeeeeeeee">#REF!</definedName>
    <definedName name="EmKomBaskan">[47]Genel!$H$30</definedName>
    <definedName name="EmKomUye1">[47]Genel!$H$31</definedName>
    <definedName name="EmKomUye2">[47]Genel!$H$32</definedName>
    <definedName name="emn" localSheetId="0">OFFSET([48]Sheet3!$C$4,1,0,[0]!datasayı,1)</definedName>
    <definedName name="emn">OFFSET([48]Sheet3!$C$4,1,0,[22]!datasayı,1)</definedName>
    <definedName name="enerkas">#REF!</definedName>
    <definedName name="ere">[5]yENİCE!#REF!</definedName>
    <definedName name="ESKA1">#REF!</definedName>
    <definedName name="ESKA2">#REF!</definedName>
    <definedName name="ESKA3">#REF!</definedName>
    <definedName name="ESKA4">#REF!</definedName>
    <definedName name="ESKA5">#REF!</definedName>
    <definedName name="ESKA6">#REF!</definedName>
    <definedName name="Excel_BuiltIn_Print_Area">'[49]Tablo 4_31'!$A:$IV</definedName>
    <definedName name="Excel_BuiltIn_Print_Area_12">#REF!</definedName>
    <definedName name="Excel_BuiltIn_Print_Area_13">#REF!</definedName>
    <definedName name="Excel_BuiltIn_Print_Area_3">#REF!</definedName>
    <definedName name="Excel_BuiltIn_Print_Titles">#REF!</definedName>
    <definedName name="Excel_BuiltIn_Print_Titles_12">#REF!</definedName>
    <definedName name="Excel_BuiltIn_Print_Titles_13">#REF!</definedName>
    <definedName name="Excel_BuiltIn_Print_Titles_14">#REF!</definedName>
    <definedName name="Excel_BuiltIn_Print_Titles_3">#REF!</definedName>
    <definedName name="expb_">[50]DatasetCombo!$AK$3</definedName>
    <definedName name="expc_">[50]DatasetCombo!$AK$2</definedName>
    <definedName name="F">#REF!</definedName>
    <definedName name="fadfa">#REF!</definedName>
    <definedName name="FE">#REF!</definedName>
    <definedName name="FF">#REF!</definedName>
    <definedName name="fff">'[51]İŞ PROĞRAMI'!$BS$1:$CA$56</definedName>
    <definedName name="FGVSBFSBFG">[7]yENİCE!#REF!</definedName>
    <definedName name="FSTRP">#REF!</definedName>
    <definedName name="g">#REF!</definedName>
    <definedName name="ge">[52]Derivasyon!$C$3</definedName>
    <definedName name="GGGGG" localSheetId="0">[53]tefen_hes!#REF!</definedName>
    <definedName name="GGGGG">[54]tefen_hes!#REF!</definedName>
    <definedName name="GHGGHHGGHVVN">#REF!</definedName>
    <definedName name="GirisQ">[55]Sheet1!$J$2:$J$148</definedName>
    <definedName name="Girist">[55]Sheet1!$H$2:$H$148</definedName>
    <definedName name="GIRISTAB">#REF!</definedName>
    <definedName name="gövdekil">#REF!</definedName>
    <definedName name="GRAFİK2" hidden="1">#REF!</definedName>
    <definedName name="GRF">[5]yENİCE!#REF!</definedName>
    <definedName name="GRK">[6]yENİCE!#REF!</definedName>
    <definedName name="gul" localSheetId="0">[56]tefen_hes!#REF!</definedName>
    <definedName name="gul">[54]tefen_hes!#REF!</definedName>
    <definedName name="H">#REF!</definedName>
    <definedName name="hacim">[57]KAH!$D$4:$D$45</definedName>
    <definedName name="HakedisNo">'[58]GENEL BILGI'!$C$24</definedName>
    <definedName name="HakedisTarihi">'[58]GENEL BILGI'!$C$25</definedName>
    <definedName name="hakno">[59]Yeşil.Defter.Kapak!$H$7</definedName>
    <definedName name="HakNoSonEk">[47]Genel!$AF$4</definedName>
    <definedName name="haktar">[59]Yeşil.Defter.Kapak!$F$22</definedName>
    <definedName name="HANE">[36]Sheet1!$C$32</definedName>
    <definedName name="HE">#REF!</definedName>
    <definedName name="ii">#REF!</definedName>
    <definedName name="ilmer">#REF!</definedName>
    <definedName name="Index_Sheet_Kutools">#REF!</definedName>
    <definedName name="isik" localSheetId="0">[7]yENİCE!#REF!</definedName>
    <definedName name="isik">[4]yENİCE!#REF!</definedName>
    <definedName name="IsinAdi">'[58]GENEL BILGI'!$C$5</definedName>
    <definedName name="İşinAdı">[47]Genel!$C$5</definedName>
    <definedName name="ISTASYONNO">#REF!</definedName>
    <definedName name="K">#REF!</definedName>
    <definedName name="k.artışı">'[60]İŞ PROĞRAMI'!$BS$1:$CA$56</definedName>
    <definedName name="k2k3">'[61]köpr-icm'!#REF!</definedName>
    <definedName name="KAK">#REF!</definedName>
    <definedName name="KANT_E">'[8]KM KANATLI'!#REF!</definedName>
    <definedName name="KANT_N">'[8]KM KANATLI'!#REF!</definedName>
    <definedName name="KANTA">'[8]KM KANATLI'!#REF!</definedName>
    <definedName name="KANTE">'[8]KM KANATLI'!#REF!</definedName>
    <definedName name="KANTF">'[8]KM KANATLI'!#REF!</definedName>
    <definedName name="KANTN">'[8]KM KANATLI'!#REF!</definedName>
    <definedName name="KAPAK">#REF!</definedName>
    <definedName name="KASAENER" localSheetId="0">'[32]tarla CIKTI'!#REF!</definedName>
    <definedName name="KASAENER">'[33]tarla CIKTI'!#REF!</definedName>
    <definedName name="kastablo">#REF!</definedName>
    <definedName name="KDV">#REF!</definedName>
    <definedName name="KES" localSheetId="0">'[62]tarla CIKTI'!#REF!</definedName>
    <definedName name="KES">'[63]tarla CIKTI'!#REF!</definedName>
    <definedName name="KESME">#REF!</definedName>
    <definedName name="KESTABLO">#REF!</definedName>
    <definedName name="KK">#REF!</definedName>
    <definedName name="KKatsUyg">'[47]Ek Bilgi'!$D$88</definedName>
    <definedName name="KontrolEdenAdiSoyadi">[34]Sayfa1!$B$4</definedName>
    <definedName name="kontroledengörevi">[34]Sayfa1!$C$4</definedName>
    <definedName name="KontSefiAdSoyad">[26]Kisan_Ref_BF!$B$4</definedName>
    <definedName name="KontSefiUnvan">[26]Kisan_Ref_BF!$C$4</definedName>
    <definedName name="kot">[57]KAH!$B$4:$B$45</definedName>
    <definedName name="KTS">#REF!</definedName>
    <definedName name="KUR">[36]Sheet1!$E$71</definedName>
    <definedName name="L" localSheetId="0">'[64]tarla CIKTI'!#REF!</definedName>
    <definedName name="L">'[63]tarla CIKTI'!#REF!</definedName>
    <definedName name="lina_">[50]DatasetCombo!$S$3</definedName>
    <definedName name="linb_">[50]DatasetCombo!$S$2</definedName>
    <definedName name="ll">#N/A</definedName>
    <definedName name="lll" localSheetId="0">'[65]Tablo 4.31'!$A:$IV</definedName>
    <definedName name="lll">'[65]Tablo 4.31'!$1:$1048576</definedName>
    <definedName name="logb_">[50]DatasetCombo!$Y$3</definedName>
    <definedName name="logc_">[50]DatasetCombo!$Y$2</definedName>
    <definedName name="m">#REF!</definedName>
    <definedName name="MAK">#REF!</definedName>
    <definedName name="MANSAP">'[8]KM KANATLI'!#REF!</definedName>
    <definedName name="mar" localSheetId="0">'[23]tarla CIKTI'!#REF!</definedName>
    <definedName name="mar">'[24]tarla CIKTI'!#REF!</definedName>
    <definedName name="MarkKuru">[26]Kisan_Ref_BF!$E$3</definedName>
    <definedName name="MaxBFPozSay">'[66]Ek Bilgi'!#REF!</definedName>
    <definedName name="MazotEmsalleri">#REF!</definedName>
    <definedName name="medyan">#REF!</definedName>
    <definedName name="MENBA">'[8]KM KANATLI'!#REF!</definedName>
    <definedName name="MFFBazFiyFormulleri">'[66]Ek Bilgi'!#REF!</definedName>
    <definedName name="MFFBrmMikCet">#REF!</definedName>
    <definedName name="MFFBrmMikCetBaslik">#REF!</definedName>
    <definedName name="MFFZamliFiyatFormulleri">'[66]Ek Bilgi'!#REF!</definedName>
    <definedName name="MikCetArkaNakKats">[66]Miktarlar!#REF!</definedName>
    <definedName name="Miktarlar">[66]Miktarlar!$J$7:$K$15,[66]Miktarlar!$M$7:$AA$15</definedName>
    <definedName name="Min17_34">#REF!</definedName>
    <definedName name="Min17_35">#REF!</definedName>
    <definedName name="MinAra0">#REF!</definedName>
    <definedName name="MM">'[67]İŞ PROĞRAMI'!$BS$1:$CA$56</definedName>
    <definedName name="MMikCetveli">#REF!</definedName>
    <definedName name="MMMM">'[67]İŞ PROĞRAMI'!$BS$1:$CA$56</definedName>
    <definedName name="MN">#REF!</definedName>
    <definedName name="muğla">'[68]KM KANATLI'!#REF!</definedName>
    <definedName name="MutKarKats">'[47]Ek Bilgi'!$D$45</definedName>
    <definedName name="n">#REF!</definedName>
    <definedName name="n_" localSheetId="0">[69]Alkumru!$D$70</definedName>
    <definedName name="n_">[70]Alkumru!$D$70</definedName>
    <definedName name="NA">#REF!</definedName>
    <definedName name="nak">#REF!</definedName>
    <definedName name="NakBrmMikCet">#REF!</definedName>
    <definedName name="NakBrmMikCetBaslik">#REF!</definedName>
    <definedName name="NakBrmMikCetBaslikBrm">#REF!</definedName>
    <definedName name="NakCetAktNakMesafeleri">#REF!</definedName>
    <definedName name="NakCetArkaNakMes">#REF!</definedName>
    <definedName name="NakCetHakNakMes">#REF!</definedName>
    <definedName name="NakCetKesif1NakMes">#REF!</definedName>
    <definedName name="NakCetKesif2NakMes">#REF!</definedName>
    <definedName name="NakCetNakMesafeleri">#REF!</definedName>
    <definedName name="NakDuzIsciSoz">#REF!</definedName>
    <definedName name="NakDuzIsciUyg">#REF!</definedName>
    <definedName name="NakKSoz">#REF!</definedName>
    <definedName name="NakKUyg">#REF!</definedName>
    <definedName name="NAKLIYE">#REF!</definedName>
    <definedName name="NakliyePozSayısı">'[66]Ek Bilgi'!#REF!</definedName>
    <definedName name="NH3N">#REF!</definedName>
    <definedName name="NO2N">#REF!</definedName>
    <definedName name="NO3N">#REF!</definedName>
    <definedName name="NormalPozSayısı">'[66]Ek Bilgi'!#REF!</definedName>
    <definedName name="olc">#REF!</definedName>
    <definedName name="Oran1">#REF!</definedName>
    <definedName name="p">#REF!</definedName>
    <definedName name="PAR_S">'[8]KM KANATLI'!#REF!</definedName>
    <definedName name="PER">'[8]KM KANATLI'!#REF!</definedName>
    <definedName name="perv">'[71]4.6'!#REF!</definedName>
    <definedName name="pet">'[72]İŞ PROĞRAMI'!$BS$1:$CA$56</definedName>
    <definedName name="PH">#REF!</definedName>
    <definedName name="pl2b_">[50]DatasetCombo!$AQ$4</definedName>
    <definedName name="pl2c1_">[50]DatasetCombo!$AQ$3</definedName>
    <definedName name="pl2c2_">[50]DatasetCombo!$AQ$2</definedName>
    <definedName name="pl3b_">[50]DatasetCombo!$AW$5</definedName>
    <definedName name="pl3c1_">[50]DatasetCombo!$AW$4</definedName>
    <definedName name="pl3c2_">[50]DatasetCombo!$AW$3</definedName>
    <definedName name="pl3c3_">[50]DatasetCombo!$AW$2</definedName>
    <definedName name="powb_">[50]DatasetCombo!$AE$3</definedName>
    <definedName name="powc_">[50]DatasetCombo!$AE$2</definedName>
    <definedName name="PP">#REF!</definedName>
    <definedName name="pppp">#REF!</definedName>
    <definedName name="_xlnm.Print_Area" localSheetId="0">KAVŞAKKAYA!$A$1:$O$47</definedName>
    <definedName name="_xlnm.Print_Area">'[49]Tablo 4.31'!$A$1:$IV$65536</definedName>
    <definedName name="PRINT_AREA_MI">#REF!</definedName>
    <definedName name="_xlnm.Print_Titles">#REF!</definedName>
    <definedName name="PRINT_TITLES_MI">#REF!</definedName>
    <definedName name="ProjeAlani">#REF!</definedName>
    <definedName name="PV">#REF!</definedName>
    <definedName name="q">#REF!</definedName>
    <definedName name="Q2zarfı" hidden="1">#REF!</definedName>
    <definedName name="QDEBIM3SN">#REF!</definedName>
    <definedName name="qq">[73]Proje1!#REF!</definedName>
    <definedName name="qqq">#REF!</definedName>
    <definedName name="qqqqq">#REF!</definedName>
    <definedName name="qqqqqqqqq">#REF!</definedName>
    <definedName name="RAD_B">'[8]KM KANATLI'!#REF!</definedName>
    <definedName name="RAD_G1">'[8]KM KANATLI'!#REF!</definedName>
    <definedName name="RAD_G2">'[8]KM KANATLI'!#REF!</definedName>
    <definedName name="RAD_P">'[8]KM KANATLI'!#REF!</definedName>
    <definedName name="RADP">'[8]KM KANATLI'!#REF!</definedName>
    <definedName name="RAF" localSheetId="0">[74]CIKTI!#REF!</definedName>
    <definedName name="RAF">[75]CIKTI!#REF!</definedName>
    <definedName name="rafet">[76]CIKTI!#REF!</definedName>
    <definedName name="RAYIC">[36]Sheet1!$A$2:$G$1001</definedName>
    <definedName name="_xlnm.Recorder" localSheetId="0">[77]TABLO!#REF!</definedName>
    <definedName name="_xlnm.Recorder">[78]TABLO!#REF!</definedName>
    <definedName name="Regulasyon">#REF!</definedName>
    <definedName name="RENK">#REF!</definedName>
    <definedName name="rr">[44]yENİCE!#REF!</definedName>
    <definedName name="s">#REF!</definedName>
    <definedName name="s4.1.16">#REF!</definedName>
    <definedName name="sacit">'[79]T-SIIRT.DMI'!$S$1</definedName>
    <definedName name="SADSAD">#REF!</definedName>
    <definedName name="SAT">#REF!</definedName>
    <definedName name="sd">[20]yENİCE!#REF!</definedName>
    <definedName name="sedda">#REF!</definedName>
    <definedName name="sıl">'[80]köpr-icm'!#REF!</definedName>
    <definedName name="Sira">[55]Sheet1!$G$2:$G$148</definedName>
    <definedName name="SIRANO">#REF!</definedName>
    <definedName name="SozlesmeBedeli">'[58]GENEL BILGI'!$C$10</definedName>
    <definedName name="ss">#REF!</definedName>
    <definedName name="sssss">[44]yENİCE!#REF!</definedName>
    <definedName name="st" localSheetId="0">OFFSET([81]Sheet3!$C$4,1,0,[0]!datasayı,1)</definedName>
    <definedName name="st">OFFSET([81]Sheet3!$C$4,1,0,[22]!datasayı,1)</definedName>
    <definedName name="station" localSheetId="0">'[82]Annual data'!$A$3</definedName>
    <definedName name="station">'[83]Annual data'!$A$3</definedName>
    <definedName name="SureUzatGerekce4">#REF!</definedName>
    <definedName name="SureUzatGerekce5">#REF!</definedName>
    <definedName name="sut">#REF!</definedName>
    <definedName name="T">#REF!</definedName>
    <definedName name="t.." localSheetId="0">OFFSET([81]Sheet3!$K$4,1,0,[0]!datasayı,1)</definedName>
    <definedName name="t..">OFFSET([81]Sheet3!$K$4,1,0,[22]!datasayı,1)</definedName>
    <definedName name="T4.566">#REF!</definedName>
    <definedName name="TAB">'[8]KM KANATLI'!#REF!</definedName>
    <definedName name="tablo">#REF!</definedName>
    <definedName name="tablo_3" hidden="1">#REF!</definedName>
    <definedName name="TARIH">#REF!</definedName>
    <definedName name="tas" localSheetId="0">'[84]tarla CIKTI'!#REF!</definedName>
    <definedName name="tas">'[33]tarla CIKTI'!#REF!</definedName>
    <definedName name="TaşaronAdı">[47]Genel!$F$10</definedName>
    <definedName name="TavaKtsy">#REF!</definedName>
    <definedName name="TCOLI">#REF!</definedName>
    <definedName name="TDS">#REF!</definedName>
    <definedName name="Toplam_Sertlik">#REF!</definedName>
    <definedName name="ToplamPozSayısı">'[66]Ek Bilgi'!#REF!</definedName>
    <definedName name="TumZamTarihleri">[66]MFFZam!$C$14:$C$42,[66]MFFZam!$E$14:$E$42,[66]MFFZam!$Q$14:$Q$42</definedName>
    <definedName name="UygYili">[34]Sayfa1!$B$2</definedName>
    <definedName name="veli">#REF!</definedName>
    <definedName name="veli.1" localSheetId="0">'[32]tarla CIKTI'!#REF!</definedName>
    <definedName name="veli.1">'[33]tarla CIKTI'!#REF!</definedName>
    <definedName name="veliler">#REF!</definedName>
    <definedName name="wqw" localSheetId="0">'[85]T-SIIRT.DMI'!$S$1</definedName>
    <definedName name="wqw">'[86]T-SIIRT.DMI'!$S$1</definedName>
    <definedName name="wqwwwwwwww">#REF!</definedName>
    <definedName name="wrn.Ocak." localSheetId="0" hidden="1">{#N/A,#N/A,FALSE,"99yılı"}</definedName>
    <definedName name="wrn.Ocak." hidden="1">{#N/A,#N/A,FALSE,"99yılı"}</definedName>
    <definedName name="ww" localSheetId="0">[87]CIKTI!#REF!</definedName>
    <definedName name="ww">[88]CIKTI!#REF!</definedName>
    <definedName name="www">#REF!</definedName>
    <definedName name="wwwwwwwwwww">#REF!</definedName>
    <definedName name="X_1">#REF!</definedName>
    <definedName name="x_2">#REF!</definedName>
    <definedName name="Xvalues">OFFSET([89]Sheet1!$B$2,[89]Routing!$Z$1-1,0,[89]Routing!$Y$1,1)</definedName>
    <definedName name="xx">[90]yENİCE!#REF!</definedName>
    <definedName name="XXXXXXX">'[8]KM KANATLI'!#REF!</definedName>
    <definedName name="Y_1">#REF!</definedName>
    <definedName name="y_2">#REF!</definedName>
    <definedName name="yagis" localSheetId="0">[7]yENİCE!#REF!</definedName>
    <definedName name="yagis">[4]yENİCE!#REF!</definedName>
    <definedName name="Yalani">#REF!</definedName>
    <definedName name="YapiDenGor">'[58]GENEL BILGI'!$C$28</definedName>
    <definedName name="YARIKPINAR">#REF!</definedName>
    <definedName name="YatakYuku" localSheetId="0">[29]input!$C$13</definedName>
    <definedName name="YatakYuku">[30]input!$C$13</definedName>
    <definedName name="yazTanim">[66]YAZ!$A$3:$E$17,[66]YAZ!$F$3:$J$17</definedName>
    <definedName name="YazTickBoxes">[66]YAZ!$E$3:$E$17,[66]YAZ!$J$3:$J$17</definedName>
    <definedName name="yeni">'[91]köpr-icm'!#REF!</definedName>
    <definedName name="YeniFiyTutGirPozSay">#REF!</definedName>
    <definedName name="YESIL1">#REF!</definedName>
    <definedName name="YESIL10">#REF!</definedName>
    <definedName name="YESIL11">#REF!</definedName>
    <definedName name="YESIL12">#REF!</definedName>
    <definedName name="YESIL13">#REF!</definedName>
    <definedName name="YESIL14">#REF!</definedName>
    <definedName name="YESIL15">#REF!</definedName>
    <definedName name="YESIL16">#REF!</definedName>
    <definedName name="YESIL2">#REF!</definedName>
    <definedName name="YESIL3">#REF!</definedName>
    <definedName name="YESIL4">#REF!</definedName>
    <definedName name="YESIL5">#REF!</definedName>
    <definedName name="YESIL6">#REF!</definedName>
    <definedName name="YESIL7">#REF!</definedName>
    <definedName name="YESIL8">#REF!</definedName>
    <definedName name="YESIL9">#REF!</definedName>
    <definedName name="YESKAPAK">#REF!</definedName>
    <definedName name="Yillar">[34]Sayfa1!$E$2:$H$2</definedName>
    <definedName name="Yıllar">[92]Aybastı!#REF!</definedName>
    <definedName name="Yıllar_12">[93]Anamur!#REF!</definedName>
    <definedName name="Yıllar_13">[93]Anamur!#REF!</definedName>
    <definedName name="Yıllar_14">[94]Aybastı!#REF!</definedName>
    <definedName name="Yıllar_3">[94]Aybastı!#REF!</definedName>
    <definedName name="yıllar2">[95]Aybastı!#REF!</definedName>
    <definedName name="Yuklenici">'[58]GENEL BILGI'!$C$9</definedName>
    <definedName name="Yvalues" localSheetId="0">#N/A</definedName>
    <definedName name="Yvalues">OFFSET([22]!Xvalues,0,1)</definedName>
    <definedName name="Yvalues2" localSheetId="0">#N/A</definedName>
    <definedName name="Yvalues2">OFFSET([22]!Xvalues,0,2)</definedName>
    <definedName name="z">#REF!</definedName>
    <definedName name="z_">#REF!</definedName>
    <definedName name="Z_6FD68921_FD8A_11D1_84A4_444553540000_.wvu.Cols" hidden="1">#REF!</definedName>
    <definedName name="zomk">[96]Aybastı!#REF!</definedName>
    <definedName name="ZZZZZZ">'[8]KM KANATLI'!#REF!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43" i="1" l="1"/>
  <c r="O42" i="1"/>
  <c r="O41" i="1"/>
  <c r="O40" i="1"/>
  <c r="O39" i="1"/>
  <c r="D38" i="1"/>
  <c r="C38" i="1"/>
  <c r="O38" i="1" s="1"/>
  <c r="N37" i="1"/>
  <c r="M37" i="1"/>
  <c r="L37" i="1"/>
  <c r="K37" i="1"/>
  <c r="J37" i="1"/>
  <c r="I37" i="1"/>
  <c r="H37" i="1"/>
  <c r="G37" i="1"/>
  <c r="F37" i="1"/>
  <c r="E37" i="1"/>
  <c r="D37" i="1"/>
  <c r="C37" i="1"/>
  <c r="O37" i="1" s="1"/>
  <c r="N36" i="1"/>
  <c r="M36" i="1"/>
  <c r="L36" i="1"/>
  <c r="K36" i="1"/>
  <c r="J36" i="1"/>
  <c r="I36" i="1"/>
  <c r="H36" i="1"/>
  <c r="G36" i="1"/>
  <c r="F36" i="1"/>
  <c r="E36" i="1"/>
  <c r="O36" i="1" s="1"/>
  <c r="D36" i="1"/>
  <c r="C36" i="1"/>
  <c r="N35" i="1"/>
  <c r="M35" i="1"/>
  <c r="L35" i="1"/>
  <c r="K35" i="1"/>
  <c r="J35" i="1"/>
  <c r="I35" i="1"/>
  <c r="H35" i="1"/>
  <c r="G35" i="1"/>
  <c r="F35" i="1"/>
  <c r="E35" i="1"/>
  <c r="D35" i="1"/>
  <c r="C35" i="1"/>
  <c r="O35" i="1" s="1"/>
  <c r="N34" i="1"/>
  <c r="M34" i="1"/>
  <c r="L34" i="1"/>
  <c r="K34" i="1"/>
  <c r="J34" i="1"/>
  <c r="I34" i="1"/>
  <c r="H34" i="1"/>
  <c r="G34" i="1"/>
  <c r="F34" i="1"/>
  <c r="E34" i="1"/>
  <c r="D34" i="1"/>
  <c r="C34" i="1"/>
  <c r="O34" i="1" s="1"/>
  <c r="O33" i="1"/>
  <c r="N33" i="1"/>
  <c r="M33" i="1"/>
  <c r="L33" i="1"/>
  <c r="K33" i="1"/>
  <c r="J33" i="1"/>
  <c r="I33" i="1"/>
  <c r="H33" i="1"/>
  <c r="G33" i="1"/>
  <c r="F33" i="1"/>
  <c r="E33" i="1"/>
  <c r="D33" i="1"/>
  <c r="C33" i="1"/>
  <c r="N32" i="1"/>
  <c r="M32" i="1"/>
  <c r="O32" i="1" s="1"/>
  <c r="L32" i="1"/>
  <c r="K32" i="1"/>
  <c r="J32" i="1"/>
  <c r="I32" i="1"/>
  <c r="H32" i="1"/>
  <c r="G32" i="1"/>
  <c r="F32" i="1"/>
  <c r="E32" i="1"/>
  <c r="D32" i="1"/>
  <c r="C32" i="1"/>
  <c r="N31" i="1"/>
  <c r="M31" i="1"/>
  <c r="L31" i="1"/>
  <c r="K31" i="1"/>
  <c r="O31" i="1" s="1"/>
  <c r="J31" i="1"/>
  <c r="I31" i="1"/>
  <c r="H31" i="1"/>
  <c r="G31" i="1"/>
  <c r="F31" i="1"/>
  <c r="E31" i="1"/>
  <c r="D31" i="1"/>
  <c r="C31" i="1"/>
  <c r="N30" i="1"/>
  <c r="M30" i="1"/>
  <c r="L30" i="1"/>
  <c r="K30" i="1"/>
  <c r="J30" i="1"/>
  <c r="I30" i="1"/>
  <c r="H30" i="1"/>
  <c r="G30" i="1"/>
  <c r="F30" i="1"/>
  <c r="E30" i="1"/>
  <c r="D30" i="1"/>
  <c r="C30" i="1"/>
  <c r="O30" i="1" s="1"/>
  <c r="N29" i="1"/>
  <c r="M29" i="1"/>
  <c r="L29" i="1"/>
  <c r="K29" i="1"/>
  <c r="J29" i="1"/>
  <c r="I29" i="1"/>
  <c r="H29" i="1"/>
  <c r="G29" i="1"/>
  <c r="F29" i="1"/>
  <c r="E29" i="1"/>
  <c r="D29" i="1"/>
  <c r="C29" i="1"/>
  <c r="O29" i="1" s="1"/>
  <c r="N28" i="1"/>
  <c r="M28" i="1"/>
  <c r="L28" i="1"/>
  <c r="K28" i="1"/>
  <c r="J28" i="1"/>
  <c r="I28" i="1"/>
  <c r="H28" i="1"/>
  <c r="G28" i="1"/>
  <c r="F28" i="1"/>
  <c r="E28" i="1"/>
  <c r="O28" i="1" s="1"/>
  <c r="D28" i="1"/>
  <c r="C28" i="1"/>
  <c r="N27" i="1"/>
  <c r="M27" i="1"/>
  <c r="L27" i="1"/>
  <c r="K27" i="1"/>
  <c r="J27" i="1"/>
  <c r="I27" i="1"/>
  <c r="H27" i="1"/>
  <c r="G27" i="1"/>
  <c r="F27" i="1"/>
  <c r="E27" i="1"/>
  <c r="D27" i="1"/>
  <c r="C27" i="1"/>
  <c r="O27" i="1" s="1"/>
  <c r="N26" i="1"/>
  <c r="M26" i="1"/>
  <c r="L26" i="1"/>
  <c r="K26" i="1"/>
  <c r="J26" i="1"/>
  <c r="I26" i="1"/>
  <c r="H26" i="1"/>
  <c r="G26" i="1"/>
  <c r="F26" i="1"/>
  <c r="E26" i="1"/>
  <c r="D26" i="1"/>
  <c r="C26" i="1"/>
  <c r="O26" i="1" s="1"/>
  <c r="O25" i="1"/>
  <c r="N25" i="1"/>
  <c r="M25" i="1"/>
  <c r="L25" i="1"/>
  <c r="K25" i="1"/>
  <c r="J25" i="1"/>
  <c r="I25" i="1"/>
  <c r="H25" i="1"/>
  <c r="G25" i="1"/>
  <c r="F25" i="1"/>
  <c r="E25" i="1"/>
  <c r="D25" i="1"/>
  <c r="C25" i="1"/>
  <c r="N24" i="1"/>
  <c r="M24" i="1"/>
  <c r="O24" i="1" s="1"/>
  <c r="L24" i="1"/>
  <c r="K24" i="1"/>
  <c r="J24" i="1"/>
  <c r="I24" i="1"/>
  <c r="H24" i="1"/>
  <c r="G24" i="1"/>
  <c r="F24" i="1"/>
  <c r="E24" i="1"/>
  <c r="D24" i="1"/>
  <c r="C24" i="1"/>
  <c r="N23" i="1"/>
  <c r="M23" i="1"/>
  <c r="L23" i="1"/>
  <c r="K23" i="1"/>
  <c r="O23" i="1" s="1"/>
  <c r="J23" i="1"/>
  <c r="I23" i="1"/>
  <c r="H23" i="1"/>
  <c r="G23" i="1"/>
  <c r="F23" i="1"/>
  <c r="E23" i="1"/>
  <c r="D23" i="1"/>
  <c r="C23" i="1"/>
  <c r="N22" i="1"/>
  <c r="M22" i="1"/>
  <c r="L22" i="1"/>
  <c r="K22" i="1"/>
  <c r="J22" i="1"/>
  <c r="I22" i="1"/>
  <c r="H22" i="1"/>
  <c r="G22" i="1"/>
  <c r="F22" i="1"/>
  <c r="E22" i="1"/>
  <c r="D22" i="1"/>
  <c r="C22" i="1"/>
  <c r="O22" i="1" s="1"/>
  <c r="N21" i="1"/>
  <c r="M21" i="1"/>
  <c r="L21" i="1"/>
  <c r="K21" i="1"/>
  <c r="J21" i="1"/>
  <c r="I21" i="1"/>
  <c r="H21" i="1"/>
  <c r="G21" i="1"/>
  <c r="F21" i="1"/>
  <c r="E21" i="1"/>
  <c r="D21" i="1"/>
  <c r="C21" i="1"/>
  <c r="O21" i="1" s="1"/>
  <c r="N20" i="1"/>
  <c r="M20" i="1"/>
  <c r="L20" i="1"/>
  <c r="K20" i="1"/>
  <c r="J20" i="1"/>
  <c r="I20" i="1"/>
  <c r="H20" i="1"/>
  <c r="G20" i="1"/>
  <c r="F20" i="1"/>
  <c r="E20" i="1"/>
  <c r="O20" i="1" s="1"/>
  <c r="D20" i="1"/>
  <c r="C20" i="1"/>
  <c r="N19" i="1"/>
  <c r="M19" i="1"/>
  <c r="L19" i="1"/>
  <c r="K19" i="1"/>
  <c r="J19" i="1"/>
  <c r="I19" i="1"/>
  <c r="H19" i="1"/>
  <c r="G19" i="1"/>
  <c r="F19" i="1"/>
  <c r="E19" i="1"/>
  <c r="D19" i="1"/>
  <c r="C19" i="1"/>
  <c r="O19" i="1" s="1"/>
  <c r="N18" i="1"/>
  <c r="M18" i="1"/>
  <c r="L18" i="1"/>
  <c r="K18" i="1"/>
  <c r="J18" i="1"/>
  <c r="I18" i="1"/>
  <c r="H18" i="1"/>
  <c r="G18" i="1"/>
  <c r="F18" i="1"/>
  <c r="E18" i="1"/>
  <c r="D18" i="1"/>
  <c r="C18" i="1"/>
  <c r="O18" i="1" s="1"/>
  <c r="O17" i="1"/>
  <c r="N17" i="1"/>
  <c r="M17" i="1"/>
  <c r="L17" i="1"/>
  <c r="K17" i="1"/>
  <c r="J17" i="1"/>
  <c r="I17" i="1"/>
  <c r="H17" i="1"/>
  <c r="G17" i="1"/>
  <c r="F17" i="1"/>
  <c r="E17" i="1"/>
  <c r="D17" i="1"/>
  <c r="C17" i="1"/>
  <c r="N16" i="1"/>
  <c r="M16" i="1"/>
  <c r="L16" i="1"/>
  <c r="K16" i="1"/>
  <c r="J16" i="1"/>
  <c r="I16" i="1"/>
  <c r="O16" i="1" s="1"/>
  <c r="H16" i="1"/>
  <c r="G16" i="1"/>
  <c r="F16" i="1"/>
  <c r="E16" i="1"/>
  <c r="D16" i="1"/>
  <c r="C16" i="1"/>
  <c r="N15" i="1"/>
  <c r="M15" i="1"/>
  <c r="L15" i="1"/>
  <c r="K15" i="1"/>
  <c r="O15" i="1" s="1"/>
  <c r="J15" i="1"/>
  <c r="I15" i="1"/>
  <c r="H15" i="1"/>
  <c r="G15" i="1"/>
  <c r="F15" i="1"/>
  <c r="E15" i="1"/>
  <c r="D15" i="1"/>
  <c r="C15" i="1"/>
  <c r="N14" i="1"/>
  <c r="M14" i="1"/>
  <c r="L14" i="1"/>
  <c r="K14" i="1"/>
  <c r="J14" i="1"/>
  <c r="I14" i="1"/>
  <c r="H14" i="1"/>
  <c r="G14" i="1"/>
  <c r="F14" i="1"/>
  <c r="E14" i="1"/>
  <c r="D14" i="1"/>
  <c r="C14" i="1"/>
  <c r="O14" i="1" s="1"/>
  <c r="N13" i="1"/>
  <c r="M13" i="1"/>
  <c r="L13" i="1"/>
  <c r="K13" i="1"/>
  <c r="J13" i="1"/>
  <c r="I13" i="1"/>
  <c r="H13" i="1"/>
  <c r="G13" i="1"/>
  <c r="F13" i="1"/>
  <c r="E13" i="1"/>
  <c r="D13" i="1"/>
  <c r="C13" i="1"/>
  <c r="O13" i="1" s="1"/>
  <c r="N12" i="1"/>
  <c r="M12" i="1"/>
  <c r="L12" i="1"/>
  <c r="K12" i="1"/>
  <c r="J12" i="1"/>
  <c r="I12" i="1"/>
  <c r="H12" i="1"/>
  <c r="G12" i="1"/>
  <c r="F12" i="1"/>
  <c r="E12" i="1"/>
  <c r="O12" i="1" s="1"/>
  <c r="D12" i="1"/>
  <c r="C12" i="1"/>
  <c r="N11" i="1"/>
  <c r="M11" i="1"/>
  <c r="L11" i="1"/>
  <c r="K11" i="1"/>
  <c r="J11" i="1"/>
  <c r="I11" i="1"/>
  <c r="H11" i="1"/>
  <c r="G11" i="1"/>
  <c r="F11" i="1"/>
  <c r="E11" i="1"/>
  <c r="D11" i="1"/>
  <c r="C11" i="1"/>
  <c r="O11" i="1" s="1"/>
  <c r="N10" i="1"/>
  <c r="M10" i="1"/>
  <c r="L10" i="1"/>
  <c r="K10" i="1"/>
  <c r="J10" i="1"/>
  <c r="I10" i="1"/>
  <c r="H10" i="1"/>
  <c r="G10" i="1"/>
  <c r="F10" i="1"/>
  <c r="E10" i="1"/>
  <c r="D10" i="1"/>
  <c r="C10" i="1"/>
  <c r="O10" i="1" s="1"/>
  <c r="O9" i="1"/>
  <c r="N9" i="1"/>
  <c r="M9" i="1"/>
  <c r="L9" i="1"/>
  <c r="K9" i="1"/>
  <c r="J9" i="1"/>
  <c r="I9" i="1"/>
  <c r="H9" i="1"/>
  <c r="G9" i="1"/>
  <c r="F9" i="1"/>
  <c r="E9" i="1"/>
  <c r="D9" i="1"/>
  <c r="C9" i="1"/>
  <c r="N8" i="1"/>
  <c r="M8" i="1"/>
  <c r="O8" i="1" s="1"/>
  <c r="L8" i="1"/>
  <c r="K8" i="1"/>
  <c r="J8" i="1"/>
  <c r="I8" i="1"/>
  <c r="H8" i="1"/>
  <c r="G8" i="1"/>
  <c r="F8" i="1"/>
  <c r="E8" i="1"/>
  <c r="D8" i="1"/>
  <c r="C8" i="1"/>
  <c r="N7" i="1"/>
  <c r="M7" i="1"/>
  <c r="L7" i="1"/>
  <c r="K7" i="1"/>
  <c r="O7" i="1" s="1"/>
  <c r="J7" i="1"/>
  <c r="I7" i="1"/>
  <c r="H7" i="1"/>
  <c r="G7" i="1"/>
  <c r="F7" i="1"/>
  <c r="E7" i="1"/>
  <c r="D7" i="1"/>
  <c r="C7" i="1"/>
  <c r="N6" i="1"/>
  <c r="M6" i="1"/>
  <c r="L6" i="1"/>
  <c r="K6" i="1"/>
  <c r="J6" i="1"/>
  <c r="I6" i="1"/>
  <c r="H6" i="1"/>
  <c r="G6" i="1"/>
  <c r="F6" i="1"/>
  <c r="E6" i="1"/>
  <c r="D6" i="1"/>
  <c r="C6" i="1"/>
  <c r="O6" i="1" s="1"/>
  <c r="N5" i="1"/>
  <c r="M5" i="1"/>
  <c r="L5" i="1"/>
  <c r="K5" i="1"/>
  <c r="J5" i="1"/>
  <c r="I5" i="1"/>
  <c r="H5" i="1"/>
  <c r="G5" i="1"/>
  <c r="F5" i="1"/>
  <c r="E5" i="1"/>
  <c r="D5" i="1"/>
  <c r="C5" i="1"/>
  <c r="O5" i="1" s="1"/>
  <c r="B5" i="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N4" i="1"/>
  <c r="N44" i="1" s="1"/>
  <c r="M4" i="1"/>
  <c r="M44" i="1" s="1"/>
  <c r="L4" i="1"/>
  <c r="L43" i="1" s="1"/>
  <c r="K4" i="1"/>
  <c r="K43" i="1" s="1"/>
  <c r="J4" i="1"/>
  <c r="J43" i="1" s="1"/>
  <c r="I4" i="1"/>
  <c r="I43" i="1" s="1"/>
  <c r="H4" i="1"/>
  <c r="H43" i="1" s="1"/>
  <c r="G4" i="1"/>
  <c r="G43" i="1" s="1"/>
  <c r="F4" i="1"/>
  <c r="F43" i="1" s="1"/>
  <c r="E4" i="1"/>
  <c r="O4" i="1" s="1"/>
  <c r="D4" i="1"/>
  <c r="D43" i="1" s="1"/>
  <c r="C4" i="1"/>
  <c r="C43" i="1" s="1"/>
  <c r="O43" i="1" l="1"/>
  <c r="M43" i="1"/>
  <c r="C44" i="1"/>
  <c r="D44" i="1"/>
  <c r="E44" i="1"/>
  <c r="F44" i="1"/>
  <c r="G44" i="1"/>
  <c r="E43" i="1"/>
  <c r="H44" i="1"/>
  <c r="I44" i="1"/>
  <c r="J44" i="1"/>
  <c r="K44" i="1"/>
  <c r="L44" i="1"/>
  <c r="O44" i="1" l="1"/>
</calcChain>
</file>

<file path=xl/sharedStrings.xml><?xml version="1.0" encoding="utf-8"?>
<sst xmlns="http://schemas.openxmlformats.org/spreadsheetml/2006/main" count="20" uniqueCount="19">
  <si>
    <t>TABLO NO : 3.56   KAVŞAKKAYA BARAJI'NIN TAMAMLANMIŞ GİRİŞ AKIMLARI (hm³)</t>
  </si>
  <si>
    <t>Yağış  Alanı : 308,24  km²</t>
  </si>
  <si>
    <t>Yıllar</t>
  </si>
  <si>
    <t>Ekim</t>
  </si>
  <si>
    <t>Kasım</t>
  </si>
  <si>
    <t>Aralık</t>
  </si>
  <si>
    <t>Ocak</t>
  </si>
  <si>
    <t>Şubat</t>
  </si>
  <si>
    <t>Mart</t>
  </si>
  <si>
    <t>Nisan</t>
  </si>
  <si>
    <t>Mayıs</t>
  </si>
  <si>
    <t>Haziran</t>
  </si>
  <si>
    <t>Temmuz</t>
  </si>
  <si>
    <t>Ağustos</t>
  </si>
  <si>
    <t>Eylül</t>
  </si>
  <si>
    <t>TOP.</t>
  </si>
  <si>
    <t>ORT.</t>
  </si>
  <si>
    <t>Not: 1974-2002 periyodu ile 2003-2008 periyodu E12A039 Nlu AGİ'den yağış alanı oranı kullanarak(308,24 km2 / 322,0 km2)</t>
  </si>
  <si>
    <t xml:space="preserve">2008 su yılı Aralık- eylül ayları arası ile 2009-2012 periyodu Fiili İşletme çalışmasından çıkarılan Kavşakkaya Barajına gelen sudan tamamlanmıştır.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</si>
</sst>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ABLO NO :&quot;\ 0"/>
  </numFmts>
  <fonts count="11" x14ac:knownFonts="1">
    <font>
      <sz val="11"/>
      <color theme="1"/>
      <name val="Calibri"/>
      <family val="2"/>
      <scheme val="minor"/>
    </font>
    <font>
      <sz val="11"/>
      <color theme="1"/>
      <name val="Calibri"/>
      <family val="2"/>
      <scheme val="minor"/>
    </font>
    <font>
      <sz val="11"/>
      <color indexed="8"/>
      <name val="Calibri"/>
      <family val="2"/>
      <charset val="162"/>
    </font>
    <font>
      <sz val="11"/>
      <color indexed="8"/>
      <name val="Tahoma"/>
      <family val="2"/>
      <charset val="162"/>
    </font>
    <font>
      <b/>
      <sz val="11"/>
      <color indexed="8"/>
      <name val="Tahoma"/>
      <family val="2"/>
      <charset val="162"/>
    </font>
    <font>
      <sz val="10"/>
      <color indexed="8"/>
      <name val="Tahoma"/>
      <family val="2"/>
      <charset val="162"/>
    </font>
    <font>
      <sz val="10"/>
      <name val="Arial Tur"/>
      <charset val="162"/>
    </font>
    <font>
      <sz val="10"/>
      <name val="Tahoma"/>
      <family val="2"/>
      <charset val="162"/>
    </font>
    <font>
      <u/>
      <sz val="10"/>
      <name val="Tahoma"/>
      <family val="2"/>
      <charset val="162"/>
    </font>
    <font>
      <u/>
      <sz val="10"/>
      <color indexed="8"/>
      <name val="Tahoma"/>
      <family val="2"/>
      <charset val="162"/>
    </font>
    <font>
      <sz val="8"/>
      <color indexed="8"/>
      <name val="Tahoma"/>
      <family val="2"/>
      <charset val="162"/>
    </font>
  </fonts>
  <fills count="4">
    <fill>
      <patternFill patternType="none"/>
    </fill>
    <fill>
      <patternFill patternType="gray125"/>
    </fill>
    <fill>
      <patternFill patternType="solid">
        <fgColor theme="2"/>
        <bgColor indexed="64"/>
      </patternFill>
    </fill>
    <fill>
      <patternFill patternType="solid">
        <fgColor theme="9" tint="0.39997558519241921"/>
        <bgColor indexed="64"/>
      </patternFill>
    </fill>
  </fills>
  <borders count="2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hair">
        <color indexed="64"/>
      </bottom>
      <diagonal/>
    </border>
    <border>
      <left style="thin">
        <color indexed="64"/>
      </left>
      <right style="thin">
        <color indexed="64"/>
      </right>
      <top/>
      <bottom style="hair">
        <color indexed="64"/>
      </bottom>
      <diagonal/>
    </border>
    <border>
      <left/>
      <right style="medium">
        <color indexed="64"/>
      </right>
      <top/>
      <bottom style="hair">
        <color indexed="64"/>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5">
    <xf numFmtId="0" fontId="0" fillId="0" borderId="0"/>
    <xf numFmtId="0" fontId="2" fillId="0" borderId="0"/>
    <xf numFmtId="0" fontId="6" fillId="0" borderId="0"/>
    <xf numFmtId="0" fontId="6" fillId="0" borderId="0"/>
    <xf numFmtId="0" fontId="1" fillId="0" borderId="0"/>
  </cellStyleXfs>
  <cellXfs count="42">
    <xf numFmtId="0" fontId="0" fillId="0" borderId="0" xfId="0"/>
    <xf numFmtId="0" fontId="3" fillId="0" borderId="0" xfId="1" applyFont="1" applyAlignment="1">
      <alignment horizontal="center" vertical="center" textRotation="180"/>
    </xf>
    <xf numFmtId="0" fontId="4" fillId="0" borderId="1" xfId="1" applyFont="1" applyBorder="1" applyAlignment="1">
      <alignment horizontal="center" vertical="center" wrapText="1"/>
    </xf>
    <xf numFmtId="0" fontId="4" fillId="0" borderId="2" xfId="1" applyFont="1" applyBorder="1" applyAlignment="1">
      <alignment horizontal="center" vertical="center" wrapText="1"/>
    </xf>
    <xf numFmtId="0" fontId="4" fillId="0" borderId="3" xfId="1" applyFont="1" applyBorder="1" applyAlignment="1">
      <alignment horizontal="center" vertical="center" wrapText="1"/>
    </xf>
    <xf numFmtId="0" fontId="3" fillId="0" borderId="0" xfId="1" applyFont="1"/>
    <xf numFmtId="164" fontId="5" fillId="0" borderId="4" xfId="1" applyNumberFormat="1" applyFont="1" applyBorder="1" applyAlignment="1">
      <alignment horizontal="right"/>
    </xf>
    <xf numFmtId="164" fontId="5" fillId="0" borderId="0" xfId="1" applyNumberFormat="1" applyFont="1" applyAlignment="1">
      <alignment horizontal="right"/>
    </xf>
    <xf numFmtId="0" fontId="5" fillId="0" borderId="0" xfId="1" applyFont="1" applyAlignment="1">
      <alignment horizontal="left"/>
    </xf>
    <xf numFmtId="0" fontId="5" fillId="0" borderId="5" xfId="1" applyFont="1" applyBorder="1" applyAlignment="1">
      <alignment horizontal="center"/>
    </xf>
    <xf numFmtId="0" fontId="5" fillId="0" borderId="6" xfId="1" applyFont="1" applyBorder="1" applyAlignment="1">
      <alignment horizontal="center"/>
    </xf>
    <xf numFmtId="0" fontId="5" fillId="0" borderId="0" xfId="1" applyFont="1"/>
    <xf numFmtId="0" fontId="7" fillId="0" borderId="7" xfId="2" applyFont="1" applyBorder="1" applyAlignment="1">
      <alignment horizontal="center" vertical="center"/>
    </xf>
    <xf numFmtId="0" fontId="7" fillId="0" borderId="8" xfId="2" applyFont="1" applyBorder="1" applyAlignment="1">
      <alignment horizontal="center" vertical="center"/>
    </xf>
    <xf numFmtId="0" fontId="7" fillId="0" borderId="9" xfId="2" applyFont="1" applyBorder="1" applyAlignment="1">
      <alignment horizontal="center" vertical="center"/>
    </xf>
    <xf numFmtId="0" fontId="7" fillId="0" borderId="0" xfId="2" applyFont="1" applyAlignment="1">
      <alignment vertical="center"/>
    </xf>
    <xf numFmtId="0" fontId="7" fillId="0" borderId="10" xfId="3" applyFont="1" applyBorder="1" applyAlignment="1">
      <alignment horizontal="center" vertical="center"/>
    </xf>
    <xf numFmtId="2" fontId="7" fillId="0" borderId="11" xfId="3" applyNumberFormat="1" applyFont="1" applyBorder="1" applyAlignment="1">
      <alignment horizontal="center" vertical="center"/>
    </xf>
    <xf numFmtId="2" fontId="7" fillId="0" borderId="12" xfId="3" applyNumberFormat="1" applyFont="1" applyBorder="1" applyAlignment="1">
      <alignment horizontal="center" vertical="center"/>
    </xf>
    <xf numFmtId="0" fontId="7" fillId="0" borderId="13" xfId="3" applyFont="1" applyBorder="1" applyAlignment="1">
      <alignment horizontal="center" vertical="center"/>
    </xf>
    <xf numFmtId="2" fontId="7" fillId="0" borderId="14" xfId="3" applyNumberFormat="1" applyFont="1" applyBorder="1" applyAlignment="1">
      <alignment horizontal="center" vertical="center"/>
    </xf>
    <xf numFmtId="2" fontId="7" fillId="0" borderId="15" xfId="3" applyNumberFormat="1" applyFont="1" applyBorder="1" applyAlignment="1">
      <alignment horizontal="center" vertical="center"/>
    </xf>
    <xf numFmtId="2" fontId="8" fillId="2" borderId="14" xfId="3" applyNumberFormat="1" applyFont="1" applyFill="1" applyBorder="1" applyAlignment="1">
      <alignment horizontal="center" vertical="center"/>
    </xf>
    <xf numFmtId="0" fontId="7" fillId="0" borderId="16" xfId="3" applyFont="1" applyBorder="1" applyAlignment="1">
      <alignment horizontal="center" vertical="center"/>
    </xf>
    <xf numFmtId="0" fontId="7" fillId="0" borderId="0" xfId="2" applyFont="1"/>
    <xf numFmtId="2" fontId="8" fillId="3" borderId="14" xfId="3" applyNumberFormat="1" applyFont="1" applyFill="1" applyBorder="1" applyAlignment="1">
      <alignment horizontal="center" vertical="center"/>
    </xf>
    <xf numFmtId="0" fontId="7" fillId="0" borderId="17" xfId="3" applyFont="1" applyBorder="1" applyAlignment="1">
      <alignment horizontal="center" vertical="center"/>
    </xf>
    <xf numFmtId="2" fontId="9" fillId="3" borderId="18" xfId="1" applyNumberFormat="1" applyFont="1" applyFill="1" applyBorder="1" applyAlignment="1">
      <alignment horizontal="center"/>
    </xf>
    <xf numFmtId="2" fontId="5" fillId="0" borderId="19" xfId="1" applyNumberFormat="1" applyFont="1" applyBorder="1" applyAlignment="1">
      <alignment horizontal="center"/>
    </xf>
    <xf numFmtId="1" fontId="7" fillId="0" borderId="20" xfId="2" applyNumberFormat="1" applyFont="1" applyBorder="1" applyAlignment="1">
      <alignment horizontal="center" vertical="center"/>
    </xf>
    <xf numFmtId="2" fontId="7" fillId="0" borderId="21" xfId="2" applyNumberFormat="1" applyFont="1" applyBorder="1" applyAlignment="1">
      <alignment horizontal="center" vertical="center"/>
    </xf>
    <xf numFmtId="2" fontId="7" fillId="0" borderId="22" xfId="2" applyNumberFormat="1" applyFont="1" applyBorder="1" applyAlignment="1">
      <alignment horizontal="center" vertical="center"/>
    </xf>
    <xf numFmtId="1" fontId="7" fillId="0" borderId="23" xfId="2" applyNumberFormat="1" applyFont="1" applyBorder="1" applyAlignment="1">
      <alignment horizontal="center" vertical="center"/>
    </xf>
    <xf numFmtId="2" fontId="7" fillId="0" borderId="24" xfId="2" applyNumberFormat="1" applyFont="1" applyBorder="1" applyAlignment="1">
      <alignment horizontal="center" vertical="center"/>
    </xf>
    <xf numFmtId="2" fontId="7" fillId="0" borderId="25" xfId="2" applyNumberFormat="1" applyFont="1" applyBorder="1" applyAlignment="1">
      <alignment horizontal="center" vertical="center"/>
    </xf>
    <xf numFmtId="0" fontId="10" fillId="0" borderId="0" xfId="1" applyFont="1" applyAlignment="1">
      <alignment vertical="center" wrapText="1"/>
    </xf>
    <xf numFmtId="0" fontId="1" fillId="0" borderId="0" xfId="4" applyAlignment="1">
      <alignment wrapText="1"/>
    </xf>
    <xf numFmtId="0" fontId="3" fillId="0" borderId="0" xfId="1" applyFont="1" applyAlignment="1">
      <alignment wrapText="1"/>
    </xf>
    <xf numFmtId="0" fontId="10" fillId="0" borderId="0" xfId="1" applyFont="1"/>
    <xf numFmtId="2" fontId="5" fillId="0" borderId="0" xfId="1" applyNumberFormat="1" applyFont="1"/>
    <xf numFmtId="2" fontId="3" fillId="0" borderId="0" xfId="1" applyNumberFormat="1" applyFont="1"/>
    <xf numFmtId="0" fontId="4" fillId="0" borderId="0" xfId="1" applyFont="1"/>
  </cellXfs>
  <cellStyles count="5">
    <cellStyle name="Normal" xfId="0" builtinId="0"/>
    <cellStyle name="Normal 14" xfId="4" xr:uid="{20164665-0EF1-4B59-A7CC-74BD460FF2CE}"/>
    <cellStyle name="Normal 2" xfId="3" xr:uid="{7E862653-E901-4082-BDB8-5C6A1B541640}"/>
    <cellStyle name="Normal 2_Kopyası AkçakocaTabloveGrafikler" xfId="2" xr:uid="{3656DDB2-1250-4C45-AFC3-4108B5D07517}"/>
    <cellStyle name="Normal 3_Kopyası AkçakocaTabloveGrafikler" xfId="1" xr:uid="{5543C5AD-0ADD-4474-9C59-8462417022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76" Type="http://schemas.openxmlformats.org/officeDocument/2006/relationships/externalLink" Target="externalLinks/externalLink75.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97" Type="http://schemas.openxmlformats.org/officeDocument/2006/relationships/externalLink" Target="externalLinks/externalLink96.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87" Type="http://schemas.openxmlformats.org/officeDocument/2006/relationships/externalLink" Target="externalLinks/externalLink86.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90" Type="http://schemas.openxmlformats.org/officeDocument/2006/relationships/externalLink" Target="externalLinks/externalLink89.xml"/><Relationship Id="rId95" Type="http://schemas.openxmlformats.org/officeDocument/2006/relationships/externalLink" Target="externalLinks/externalLink94.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77" Type="http://schemas.openxmlformats.org/officeDocument/2006/relationships/externalLink" Target="externalLinks/externalLink76.xml"/><Relationship Id="rId100" Type="http://schemas.openxmlformats.org/officeDocument/2006/relationships/sharedStrings" Target="sharedStrings.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93" Type="http://schemas.openxmlformats.org/officeDocument/2006/relationships/externalLink" Target="externalLinks/externalLink92.xml"/><Relationship Id="rId98" Type="http://schemas.openxmlformats.org/officeDocument/2006/relationships/theme" Target="theme/theme1.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externalLink" Target="externalLinks/externalLink90.xml"/><Relationship Id="rId96" Type="http://schemas.openxmlformats.org/officeDocument/2006/relationships/externalLink" Target="externalLinks/externalLink95.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openxmlformats.org/officeDocument/2006/relationships/externalLink" Target="externalLinks/externalLink93.xml"/><Relationship Id="rId99" Type="http://schemas.openxmlformats.org/officeDocument/2006/relationships/styles" Target="styles.xml"/><Relationship Id="rId101"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trendline>
            <c:trendlineType val="linear"/>
            <c:dispRSqr val="1"/>
            <c:dispEq val="1"/>
            <c:trendlineLbl>
              <c:layout>
                <c:manualLayout>
                  <c:x val="-0.46191097987753088"/>
                  <c:y val="-0.47045202682998088"/>
                </c:manualLayout>
              </c:layout>
              <c:numFmt formatCode="General" sourceLinked="0"/>
            </c:trendlineLbl>
          </c:trendline>
          <c:trendline>
            <c:trendlineType val="poly"/>
            <c:order val="2"/>
            <c:dispRSqr val="1"/>
            <c:dispEq val="1"/>
            <c:trendlineLbl>
              <c:layout>
                <c:manualLayout>
                  <c:x val="-3.0622047244094491E-2"/>
                  <c:y val="-0.33308143773696175"/>
                </c:manualLayout>
              </c:layout>
              <c:numFmt formatCode="General" sourceLinked="0"/>
            </c:trendlineLbl>
          </c:trendline>
          <c:trendline>
            <c:trendlineType val="power"/>
            <c:dispRSqr val="1"/>
            <c:dispEq val="1"/>
            <c:trendlineLbl>
              <c:layout>
                <c:manualLayout>
                  <c:x val="-0.54977471566056246"/>
                  <c:y val="-0.30471857684457554"/>
                </c:manualLayout>
              </c:layout>
              <c:numFmt formatCode="General" sourceLinked="0"/>
            </c:trendlineLbl>
          </c:trendline>
          <c:xVal>
            <c:numRef>
              <c:f>'[1]T 3.35'!$R$284:$R$343</c:f>
              <c:numCache>
                <c:formatCode>General</c:formatCode>
                <c:ptCount val="60"/>
                <c:pt idx="0">
                  <c:v>0.13</c:v>
                </c:pt>
                <c:pt idx="1">
                  <c:v>0.35499999999999998</c:v>
                </c:pt>
                <c:pt idx="2">
                  <c:v>2.1520000000000001</c:v>
                </c:pt>
                <c:pt idx="3">
                  <c:v>2.0089999999999999</c:v>
                </c:pt>
                <c:pt idx="4">
                  <c:v>3.3660000000000001</c:v>
                </c:pt>
                <c:pt idx="5">
                  <c:v>1.9119999999999999</c:v>
                </c:pt>
                <c:pt idx="6">
                  <c:v>2.7229999999999999</c:v>
                </c:pt>
                <c:pt idx="7">
                  <c:v>2.4159999999999999</c:v>
                </c:pt>
                <c:pt idx="8">
                  <c:v>1.5629999999999999</c:v>
                </c:pt>
                <c:pt idx="9">
                  <c:v>0.26200000000000001</c:v>
                </c:pt>
                <c:pt idx="10">
                  <c:v>0.153</c:v>
                </c:pt>
                <c:pt idx="11">
                  <c:v>8.5999999999999993E-2</c:v>
                </c:pt>
                <c:pt idx="12">
                  <c:v>0.16400000000000001</c:v>
                </c:pt>
                <c:pt idx="13">
                  <c:v>0.23499999999999999</c:v>
                </c:pt>
                <c:pt idx="14">
                  <c:v>2.1520000000000001</c:v>
                </c:pt>
                <c:pt idx="15">
                  <c:v>2.0089999999999999</c:v>
                </c:pt>
                <c:pt idx="16">
                  <c:v>3.3660000000000001</c:v>
                </c:pt>
                <c:pt idx="17">
                  <c:v>3.4670000000000001</c:v>
                </c:pt>
                <c:pt idx="18">
                  <c:v>2.7229999999999999</c:v>
                </c:pt>
                <c:pt idx="19">
                  <c:v>2.4159999999999999</c:v>
                </c:pt>
                <c:pt idx="20">
                  <c:v>0.378</c:v>
                </c:pt>
                <c:pt idx="21">
                  <c:v>0.245</c:v>
                </c:pt>
                <c:pt idx="22">
                  <c:v>0.26200000000000001</c:v>
                </c:pt>
                <c:pt idx="23">
                  <c:v>7.2999999999999995E-2</c:v>
                </c:pt>
                <c:pt idx="24">
                  <c:v>5.2999999999999999E-2</c:v>
                </c:pt>
                <c:pt idx="25">
                  <c:v>6.5000000000000002E-2</c:v>
                </c:pt>
                <c:pt idx="26">
                  <c:v>0.08</c:v>
                </c:pt>
                <c:pt idx="27">
                  <c:v>0.13300000000000001</c:v>
                </c:pt>
                <c:pt idx="28">
                  <c:v>0.32200000000000001</c:v>
                </c:pt>
                <c:pt idx="29">
                  <c:v>2.15</c:v>
                </c:pt>
                <c:pt idx="30">
                  <c:v>3.37</c:v>
                </c:pt>
                <c:pt idx="31">
                  <c:v>1.3129999999999999</c:v>
                </c:pt>
                <c:pt idx="32">
                  <c:v>0.45600000000000002</c:v>
                </c:pt>
                <c:pt idx="33">
                  <c:v>0.155</c:v>
                </c:pt>
                <c:pt idx="34">
                  <c:v>6.3E-2</c:v>
                </c:pt>
                <c:pt idx="35">
                  <c:v>5.0999999999999997E-2</c:v>
                </c:pt>
                <c:pt idx="36">
                  <c:v>5.2999999999999999E-2</c:v>
                </c:pt>
                <c:pt idx="37">
                  <c:v>7.4999999999999997E-2</c:v>
                </c:pt>
                <c:pt idx="38">
                  <c:v>5.3999999999999999E-2</c:v>
                </c:pt>
                <c:pt idx="39">
                  <c:v>4.5999999999999999E-2</c:v>
                </c:pt>
                <c:pt idx="40">
                  <c:v>5.0999999999999997E-2</c:v>
                </c:pt>
                <c:pt idx="41">
                  <c:v>6.3E-2</c:v>
                </c:pt>
                <c:pt idx="42">
                  <c:v>8.6999999999999994E-2</c:v>
                </c:pt>
                <c:pt idx="43">
                  <c:v>0.41</c:v>
                </c:pt>
                <c:pt idx="44">
                  <c:v>0.1</c:v>
                </c:pt>
                <c:pt idx="45">
                  <c:v>8.8999999999999996E-2</c:v>
                </c:pt>
                <c:pt idx="46">
                  <c:v>8.1000000000000003E-2</c:v>
                </c:pt>
                <c:pt idx="47">
                  <c:v>5.6000000000000001E-2</c:v>
                </c:pt>
                <c:pt idx="48">
                  <c:v>6.0999999999999999E-2</c:v>
                </c:pt>
                <c:pt idx="49">
                  <c:v>2.5999999999999999E-2</c:v>
                </c:pt>
                <c:pt idx="50">
                  <c:v>0.20799999999999999</c:v>
                </c:pt>
                <c:pt idx="51">
                  <c:v>1.6719999999999999</c:v>
                </c:pt>
                <c:pt idx="52">
                  <c:v>1.3320000000000001</c:v>
                </c:pt>
                <c:pt idx="53">
                  <c:v>1.3859999999999999</c:v>
                </c:pt>
                <c:pt idx="54">
                  <c:v>3.0960000000000001</c:v>
                </c:pt>
                <c:pt idx="55">
                  <c:v>1.67</c:v>
                </c:pt>
                <c:pt idx="56">
                  <c:v>0.38900000000000001</c:v>
                </c:pt>
                <c:pt idx="57">
                  <c:v>0.216</c:v>
                </c:pt>
                <c:pt idx="58">
                  <c:v>0.1</c:v>
                </c:pt>
                <c:pt idx="59">
                  <c:v>0.11600000000000001</c:v>
                </c:pt>
              </c:numCache>
            </c:numRef>
          </c:xVal>
          <c:yVal>
            <c:numRef>
              <c:f>'[1]T 3.35'!$S$284:$S$343</c:f>
              <c:numCache>
                <c:formatCode>General</c:formatCode>
                <c:ptCount val="60"/>
                <c:pt idx="0">
                  <c:v>1.0061800972115631</c:v>
                </c:pt>
                <c:pt idx="1">
                  <c:v>0.98471731900741888</c:v>
                </c:pt>
                <c:pt idx="2">
                  <c:v>1.5725070350473265</c:v>
                </c:pt>
                <c:pt idx="3">
                  <c:v>1.2704773599386032</c:v>
                </c:pt>
                <c:pt idx="5">
                  <c:v>1.9494699411614222</c:v>
                </c:pt>
                <c:pt idx="6">
                  <c:v>1.1285842926579688</c:v>
                </c:pt>
                <c:pt idx="7">
                  <c:v>1.8934704528012278</c:v>
                </c:pt>
                <c:pt idx="8">
                  <c:v>1.0606697365055002</c:v>
                </c:pt>
                <c:pt idx="10">
                  <c:v>0.21903658224609876</c:v>
                </c:pt>
                <c:pt idx="11">
                  <c:v>0.29066973650550015</c:v>
                </c:pt>
                <c:pt idx="12">
                  <c:v>0.90618009721156312</c:v>
                </c:pt>
                <c:pt idx="13">
                  <c:v>0.7747173190074188</c:v>
                </c:pt>
                <c:pt idx="14">
                  <c:v>1.5725070350473265</c:v>
                </c:pt>
                <c:pt idx="15">
                  <c:v>1.2704773599386032</c:v>
                </c:pt>
                <c:pt idx="17">
                  <c:v>2.4294699411614222</c:v>
                </c:pt>
                <c:pt idx="18">
                  <c:v>1.1285842926579688</c:v>
                </c:pt>
                <c:pt idx="19">
                  <c:v>1.8934704528012278</c:v>
                </c:pt>
                <c:pt idx="21">
                  <c:v>0.13656485034535687</c:v>
                </c:pt>
                <c:pt idx="22">
                  <c:v>0.75903658224609871</c:v>
                </c:pt>
                <c:pt idx="25">
                  <c:v>0.74471731900741878</c:v>
                </c:pt>
                <c:pt idx="27">
                  <c:v>0.54047735993860324</c:v>
                </c:pt>
                <c:pt idx="28">
                  <c:v>0.64365259657201335</c:v>
                </c:pt>
                <c:pt idx="30">
                  <c:v>0.79858429265796882</c:v>
                </c:pt>
                <c:pt idx="31">
                  <c:v>0.24347045280122798</c:v>
                </c:pt>
                <c:pt idx="32">
                  <c:v>0.26066973650550013</c:v>
                </c:pt>
                <c:pt idx="33">
                  <c:v>3.6564850345356864E-2</c:v>
                </c:pt>
                <c:pt idx="34">
                  <c:v>0.21903658224609876</c:v>
                </c:pt>
                <c:pt idx="35">
                  <c:v>0.29066973650550015</c:v>
                </c:pt>
                <c:pt idx="36">
                  <c:v>0.58618009721156306</c:v>
                </c:pt>
                <c:pt idx="37">
                  <c:v>0.63471731900741879</c:v>
                </c:pt>
                <c:pt idx="40">
                  <c:v>0.99365259657201321</c:v>
                </c:pt>
                <c:pt idx="41">
                  <c:v>0.87946994116142219</c:v>
                </c:pt>
                <c:pt idx="42">
                  <c:v>0.58858429265796874</c:v>
                </c:pt>
                <c:pt idx="44">
                  <c:v>0.15066973650550014</c:v>
                </c:pt>
                <c:pt idx="45">
                  <c:v>0.12656485034535686</c:v>
                </c:pt>
                <c:pt idx="46">
                  <c:v>0.12903658224609876</c:v>
                </c:pt>
                <c:pt idx="47">
                  <c:v>0.41066973650550015</c:v>
                </c:pt>
                <c:pt idx="48">
                  <c:v>0.18618009721156306</c:v>
                </c:pt>
                <c:pt idx="49">
                  <c:v>0.41471731900741882</c:v>
                </c:pt>
                <c:pt idx="51">
                  <c:v>1.0604773599386033</c:v>
                </c:pt>
                <c:pt idx="53">
                  <c:v>1.6594699411614222</c:v>
                </c:pt>
                <c:pt idx="55">
                  <c:v>0.5934704528012279</c:v>
                </c:pt>
                <c:pt idx="56">
                  <c:v>0.34066973650550014</c:v>
                </c:pt>
                <c:pt idx="57">
                  <c:v>0.30656485034535691</c:v>
                </c:pt>
                <c:pt idx="58">
                  <c:v>0.19903658224609874</c:v>
                </c:pt>
                <c:pt idx="59">
                  <c:v>0.88066973650550007</c:v>
                </c:pt>
              </c:numCache>
            </c:numRef>
          </c:yVal>
          <c:smooth val="0"/>
          <c:extLst>
            <c:ext xmlns:c16="http://schemas.microsoft.com/office/drawing/2014/chart" uri="{C3380CC4-5D6E-409C-BE32-E72D297353CC}">
              <c16:uniqueId val="{00000003-B024-49FC-BD0C-58557C7333B8}"/>
            </c:ext>
          </c:extLst>
        </c:ser>
        <c:dLbls>
          <c:showLegendKey val="0"/>
          <c:showVal val="0"/>
          <c:showCatName val="0"/>
          <c:showSerName val="0"/>
          <c:showPercent val="0"/>
          <c:showBubbleSize val="0"/>
        </c:dLbls>
        <c:axId val="157759744"/>
        <c:axId val="157765632"/>
      </c:scatterChart>
      <c:valAx>
        <c:axId val="157759744"/>
        <c:scaling>
          <c:orientation val="minMax"/>
        </c:scaling>
        <c:delete val="0"/>
        <c:axPos val="b"/>
        <c:numFmt formatCode="General" sourceLinked="1"/>
        <c:majorTickMark val="out"/>
        <c:minorTickMark val="none"/>
        <c:tickLblPos val="nextTo"/>
        <c:crossAx val="157765632"/>
        <c:crosses val="autoZero"/>
        <c:crossBetween val="midCat"/>
      </c:valAx>
      <c:valAx>
        <c:axId val="157765632"/>
        <c:scaling>
          <c:orientation val="minMax"/>
        </c:scaling>
        <c:delete val="0"/>
        <c:axPos val="l"/>
        <c:majorGridlines/>
        <c:numFmt formatCode="General" sourceLinked="1"/>
        <c:majorTickMark val="out"/>
        <c:minorTickMark val="none"/>
        <c:tickLblPos val="nextTo"/>
        <c:crossAx val="157759744"/>
        <c:crosses val="autoZero"/>
        <c:crossBetween val="midCat"/>
      </c:valAx>
    </c:plotArea>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trendline>
            <c:trendlineType val="linear"/>
            <c:dispRSqr val="1"/>
            <c:dispEq val="1"/>
            <c:trendlineLbl>
              <c:numFmt formatCode="General" sourceLinked="0"/>
            </c:trendlineLbl>
          </c:trendline>
          <c:trendline>
            <c:trendlineType val="poly"/>
            <c:order val="2"/>
            <c:dispRSqr val="1"/>
            <c:dispEq val="1"/>
            <c:trendlineLbl>
              <c:layout>
                <c:manualLayout>
                  <c:x val="-0.37406802274716416"/>
                  <c:y val="-0.12195246427529892"/>
                </c:manualLayout>
              </c:layout>
              <c:numFmt formatCode="General" sourceLinked="0"/>
            </c:trendlineLbl>
          </c:trendline>
          <c:xVal>
            <c:numRef>
              <c:f>'[1]T 3.23'!$R$48:$R$247</c:f>
              <c:numCache>
                <c:formatCode>General</c:formatCode>
                <c:ptCount val="200"/>
                <c:pt idx="0">
                  <c:v>21.555071999999999</c:v>
                </c:pt>
                <c:pt idx="1">
                  <c:v>23.382432000000001</c:v>
                </c:pt>
                <c:pt idx="2">
                  <c:v>27.216000000000001</c:v>
                </c:pt>
                <c:pt idx="3">
                  <c:v>10.552896</c:v>
                </c:pt>
                <c:pt idx="4">
                  <c:v>3.0585599999999999</c:v>
                </c:pt>
                <c:pt idx="5">
                  <c:v>0.34551360000000003</c:v>
                </c:pt>
                <c:pt idx="6">
                  <c:v>0</c:v>
                </c:pt>
                <c:pt idx="7">
                  <c:v>6.7391999999999994E-2</c:v>
                </c:pt>
                <c:pt idx="8">
                  <c:v>1.2695615999999998</c:v>
                </c:pt>
                <c:pt idx="9">
                  <c:v>1.3115520000000001</c:v>
                </c:pt>
                <c:pt idx="10">
                  <c:v>9.4279679999999999</c:v>
                </c:pt>
                <c:pt idx="11">
                  <c:v>15.159744</c:v>
                </c:pt>
                <c:pt idx="12">
                  <c:v>21.748608000000001</c:v>
                </c:pt>
                <c:pt idx="13">
                  <c:v>17.141760000000001</c:v>
                </c:pt>
                <c:pt idx="14">
                  <c:v>9.61632</c:v>
                </c:pt>
                <c:pt idx="15">
                  <c:v>4.1783039999999998</c:v>
                </c:pt>
                <c:pt idx="16">
                  <c:v>1.3193280000000001</c:v>
                </c:pt>
                <c:pt idx="17">
                  <c:v>0.31605119999999998</c:v>
                </c:pt>
                <c:pt idx="18">
                  <c:v>0.2089152</c:v>
                </c:pt>
                <c:pt idx="19">
                  <c:v>2.5920000000000001E-3</c:v>
                </c:pt>
                <c:pt idx="20">
                  <c:v>1E-3</c:v>
                </c:pt>
                <c:pt idx="21">
                  <c:v>1E-3</c:v>
                </c:pt>
                <c:pt idx="22">
                  <c:v>6.240672</c:v>
                </c:pt>
                <c:pt idx="23">
                  <c:v>3.4283519999999998</c:v>
                </c:pt>
                <c:pt idx="24">
                  <c:v>3.6331199999999999</c:v>
                </c:pt>
                <c:pt idx="25">
                  <c:v>21.052223999999999</c:v>
                </c:pt>
                <c:pt idx="26">
                  <c:v>23.794560000000001</c:v>
                </c:pt>
                <c:pt idx="27">
                  <c:v>16.659648000000001</c:v>
                </c:pt>
                <c:pt idx="28">
                  <c:v>3.1103999999999998</c:v>
                </c:pt>
                <c:pt idx="29">
                  <c:v>0.58121279999999997</c:v>
                </c:pt>
                <c:pt idx="30">
                  <c:v>4.0176000000000003E-2</c:v>
                </c:pt>
                <c:pt idx="31">
                  <c:v>0</c:v>
                </c:pt>
                <c:pt idx="32">
                  <c:v>1.2293855999999999</c:v>
                </c:pt>
                <c:pt idx="33">
                  <c:v>1.848096</c:v>
                </c:pt>
                <c:pt idx="34">
                  <c:v>2.5578720000000001</c:v>
                </c:pt>
                <c:pt idx="35">
                  <c:v>6.3210240000000004</c:v>
                </c:pt>
                <c:pt idx="36">
                  <c:v>10.088063999999999</c:v>
                </c:pt>
                <c:pt idx="37">
                  <c:v>45.264959999999995</c:v>
                </c:pt>
                <c:pt idx="38">
                  <c:v>26.956800000000001</c:v>
                </c:pt>
                <c:pt idx="39">
                  <c:v>13.552703999999999</c:v>
                </c:pt>
                <c:pt idx="40">
                  <c:v>2.7475200000000002</c:v>
                </c:pt>
                <c:pt idx="41">
                  <c:v>1.8561311999999999</c:v>
                </c:pt>
                <c:pt idx="42">
                  <c:v>0</c:v>
                </c:pt>
                <c:pt idx="43">
                  <c:v>7.5167999999999999E-2</c:v>
                </c:pt>
                <c:pt idx="44">
                  <c:v>0.46871999999999991</c:v>
                </c:pt>
                <c:pt idx="45">
                  <c:v>1.702944</c:v>
                </c:pt>
                <c:pt idx="46">
                  <c:v>48.746879999999997</c:v>
                </c:pt>
                <c:pt idx="47">
                  <c:v>13.874112</c:v>
                </c:pt>
                <c:pt idx="48">
                  <c:v>4.5722880000000004</c:v>
                </c:pt>
                <c:pt idx="49">
                  <c:v>11.892096000000002</c:v>
                </c:pt>
                <c:pt idx="50">
                  <c:v>25.271999999999998</c:v>
                </c:pt>
                <c:pt idx="51">
                  <c:v>11.436767999999999</c:v>
                </c:pt>
                <c:pt idx="52">
                  <c:v>5.4691200000000002</c:v>
                </c:pt>
                <c:pt idx="53">
                  <c:v>1.7302464000000002</c:v>
                </c:pt>
                <c:pt idx="54">
                  <c:v>3.455136</c:v>
                </c:pt>
                <c:pt idx="55">
                  <c:v>0.78537599999999996</c:v>
                </c:pt>
                <c:pt idx="56">
                  <c:v>1.5266879999999998</c:v>
                </c:pt>
                <c:pt idx="57">
                  <c:v>0.95644799999999996</c:v>
                </c:pt>
                <c:pt idx="58">
                  <c:v>0.94547519999999996</c:v>
                </c:pt>
                <c:pt idx="59">
                  <c:v>2.0436191999999997</c:v>
                </c:pt>
                <c:pt idx="60">
                  <c:v>3.2417280000000002</c:v>
                </c:pt>
                <c:pt idx="61">
                  <c:v>12.829535999999999</c:v>
                </c:pt>
                <c:pt idx="62">
                  <c:v>19.025279999999999</c:v>
                </c:pt>
                <c:pt idx="63">
                  <c:v>4.0711680000000001</c:v>
                </c:pt>
                <c:pt idx="64">
                  <c:v>4.4323199999999998</c:v>
                </c:pt>
                <c:pt idx="65">
                  <c:v>3.6961919999999995</c:v>
                </c:pt>
                <c:pt idx="66">
                  <c:v>1.7114976</c:v>
                </c:pt>
                <c:pt idx="67">
                  <c:v>0.44064000000000003</c:v>
                </c:pt>
                <c:pt idx="68">
                  <c:v>0.73388160000000013</c:v>
                </c:pt>
                <c:pt idx="69">
                  <c:v>2.7993600000000001</c:v>
                </c:pt>
                <c:pt idx="70">
                  <c:v>4.1247360000000004</c:v>
                </c:pt>
                <c:pt idx="71">
                  <c:v>2.3328864</c:v>
                </c:pt>
                <c:pt idx="72">
                  <c:v>3.7333440000000002</c:v>
                </c:pt>
                <c:pt idx="73">
                  <c:v>24.935904000000001</c:v>
                </c:pt>
                <c:pt idx="74">
                  <c:v>30.326399999999996</c:v>
                </c:pt>
                <c:pt idx="75">
                  <c:v>12.454560000000003</c:v>
                </c:pt>
                <c:pt idx="76">
                  <c:v>2.4546239999999999</c:v>
                </c:pt>
                <c:pt idx="77">
                  <c:v>0.21962880000000001</c:v>
                </c:pt>
                <c:pt idx="78">
                  <c:v>0.14999040000000002</c:v>
                </c:pt>
                <c:pt idx="79">
                  <c:v>0.158112</c:v>
                </c:pt>
                <c:pt idx="80">
                  <c:v>0.2330208</c:v>
                </c:pt>
                <c:pt idx="81">
                  <c:v>0.73094400000000004</c:v>
                </c:pt>
                <c:pt idx="82">
                  <c:v>0.76870079999999996</c:v>
                </c:pt>
                <c:pt idx="83">
                  <c:v>3.8568959999999999</c:v>
                </c:pt>
                <c:pt idx="84">
                  <c:v>5.5641599999999993</c:v>
                </c:pt>
                <c:pt idx="85">
                  <c:v>17.570304</c:v>
                </c:pt>
                <c:pt idx="86">
                  <c:v>23.716799999999999</c:v>
                </c:pt>
                <c:pt idx="87">
                  <c:v>5.5442879999999999</c:v>
                </c:pt>
                <c:pt idx="88">
                  <c:v>1.441152</c:v>
                </c:pt>
                <c:pt idx="89">
                  <c:v>0.28391039999999995</c:v>
                </c:pt>
                <c:pt idx="90">
                  <c:v>8.0351999999999993E-3</c:v>
                </c:pt>
                <c:pt idx="91">
                  <c:v>0</c:v>
                </c:pt>
                <c:pt idx="92">
                  <c:v>0.21695040000000002</c:v>
                </c:pt>
                <c:pt idx="93">
                  <c:v>1.7314560000000003</c:v>
                </c:pt>
                <c:pt idx="94">
                  <c:v>1.566864</c:v>
                </c:pt>
                <c:pt idx="95">
                  <c:v>7.5798719999999999</c:v>
                </c:pt>
                <c:pt idx="96">
                  <c:v>9.3864959999999993</c:v>
                </c:pt>
                <c:pt idx="97">
                  <c:v>15.320448000000001</c:v>
                </c:pt>
                <c:pt idx="98">
                  <c:v>5.5987200000000001</c:v>
                </c:pt>
                <c:pt idx="99">
                  <c:v>1.6954271999999999</c:v>
                </c:pt>
                <c:pt idx="100">
                  <c:v>5.7283200000000001</c:v>
                </c:pt>
                <c:pt idx="101">
                  <c:v>0.1044576</c:v>
                </c:pt>
                <c:pt idx="102">
                  <c:v>2.6784000000000001E-3</c:v>
                </c:pt>
                <c:pt idx="103">
                  <c:v>0.15292799999999998</c:v>
                </c:pt>
                <c:pt idx="104">
                  <c:v>0.45800640000000004</c:v>
                </c:pt>
                <c:pt idx="105">
                  <c:v>0.57542400000000005</c:v>
                </c:pt>
                <c:pt idx="106">
                  <c:v>0.90529920000000008</c:v>
                </c:pt>
                <c:pt idx="107">
                  <c:v>7.2852480000000011</c:v>
                </c:pt>
                <c:pt idx="108">
                  <c:v>20.635776</c:v>
                </c:pt>
                <c:pt idx="109">
                  <c:v>12.0528</c:v>
                </c:pt>
                <c:pt idx="110">
                  <c:v>31.881599999999999</c:v>
                </c:pt>
                <c:pt idx="111">
                  <c:v>15.481152</c:v>
                </c:pt>
                <c:pt idx="112">
                  <c:v>4.7174399999999999</c:v>
                </c:pt>
                <c:pt idx="113">
                  <c:v>0.88119360000000013</c:v>
                </c:pt>
                <c:pt idx="114">
                  <c:v>8.0351999999999993E-3</c:v>
                </c:pt>
                <c:pt idx="115">
                  <c:v>0</c:v>
                </c:pt>
                <c:pt idx="116">
                  <c:v>0.51425279999999995</c:v>
                </c:pt>
                <c:pt idx="117">
                  <c:v>1.083456</c:v>
                </c:pt>
                <c:pt idx="118">
                  <c:v>3.1605120000000002</c:v>
                </c:pt>
                <c:pt idx="119">
                  <c:v>1.9873727999999999</c:v>
                </c:pt>
                <c:pt idx="120">
                  <c:v>2.0671200000000001</c:v>
                </c:pt>
                <c:pt idx="121">
                  <c:v>13.204511999999999</c:v>
                </c:pt>
                <c:pt idx="122">
                  <c:v>30.844799999999999</c:v>
                </c:pt>
                <c:pt idx="123">
                  <c:v>5.9996160000000005</c:v>
                </c:pt>
                <c:pt idx="124">
                  <c:v>8.5795200000000005</c:v>
                </c:pt>
                <c:pt idx="125">
                  <c:v>1.4757984000000002</c:v>
                </c:pt>
                <c:pt idx="126">
                  <c:v>0</c:v>
                </c:pt>
                <c:pt idx="127">
                  <c:v>0.25401600000000002</c:v>
                </c:pt>
                <c:pt idx="128">
                  <c:v>1.218672</c:v>
                </c:pt>
                <c:pt idx="129">
                  <c:v>3.4732799999999999</c:v>
                </c:pt>
                <c:pt idx="130">
                  <c:v>11.865311999999999</c:v>
                </c:pt>
                <c:pt idx="131">
                  <c:v>2.3623488000000004</c:v>
                </c:pt>
                <c:pt idx="132">
                  <c:v>2.8788480000000001</c:v>
                </c:pt>
                <c:pt idx="133">
                  <c:v>12.213503999999999</c:v>
                </c:pt>
                <c:pt idx="134">
                  <c:v>3.5769599999999997</c:v>
                </c:pt>
                <c:pt idx="135">
                  <c:v>1.6954271999999999</c:v>
                </c:pt>
                <c:pt idx="136">
                  <c:v>1.099008</c:v>
                </c:pt>
                <c:pt idx="137">
                  <c:v>5.3567999999999998E-2</c:v>
                </c:pt>
                <c:pt idx="138">
                  <c:v>1.8748800000000003E-2</c:v>
                </c:pt>
                <c:pt idx="139">
                  <c:v>0</c:v>
                </c:pt>
                <c:pt idx="140">
                  <c:v>0.71245440000000004</c:v>
                </c:pt>
                <c:pt idx="141">
                  <c:v>6.1171199999999999</c:v>
                </c:pt>
                <c:pt idx="142">
                  <c:v>11.543903999999998</c:v>
                </c:pt>
                <c:pt idx="143">
                  <c:v>4.4729279999999996</c:v>
                </c:pt>
                <c:pt idx="144">
                  <c:v>4.2094079999999998</c:v>
                </c:pt>
                <c:pt idx="145">
                  <c:v>20.730816000000001</c:v>
                </c:pt>
                <c:pt idx="146">
                  <c:v>22.783679999999997</c:v>
                </c:pt>
                <c:pt idx="147">
                  <c:v>8.4101759999999999</c:v>
                </c:pt>
                <c:pt idx="148">
                  <c:v>2.6956799999999999</c:v>
                </c:pt>
                <c:pt idx="149">
                  <c:v>0.30533760000000004</c:v>
                </c:pt>
                <c:pt idx="150">
                  <c:v>0.1151712</c:v>
                </c:pt>
                <c:pt idx="151">
                  <c:v>0</c:v>
                </c:pt>
                <c:pt idx="152">
                  <c:v>0.65352959999999993</c:v>
                </c:pt>
                <c:pt idx="153">
                  <c:v>0.99532799999999999</c:v>
                </c:pt>
                <c:pt idx="154">
                  <c:v>3.1605120000000002</c:v>
                </c:pt>
                <c:pt idx="155">
                  <c:v>0.96958079999999991</c:v>
                </c:pt>
                <c:pt idx="156">
                  <c:v>1.7321471999999998</c:v>
                </c:pt>
                <c:pt idx="157">
                  <c:v>10.57968</c:v>
                </c:pt>
                <c:pt idx="158">
                  <c:v>8.5276800000000001</c:v>
                </c:pt>
                <c:pt idx="159">
                  <c:v>4.6068480000000003</c:v>
                </c:pt>
                <c:pt idx="160">
                  <c:v>2.6956799999999999</c:v>
                </c:pt>
                <c:pt idx="161">
                  <c:v>0.16070400000000001</c:v>
                </c:pt>
                <c:pt idx="162">
                  <c:v>0</c:v>
                </c:pt>
                <c:pt idx="163">
                  <c:v>0</c:v>
                </c:pt>
                <c:pt idx="164">
                  <c:v>0.9722592000000001</c:v>
                </c:pt>
                <c:pt idx="165">
                  <c:v>0.77500800000000003</c:v>
                </c:pt>
                <c:pt idx="166">
                  <c:v>0.81155520000000003</c:v>
                </c:pt>
                <c:pt idx="167">
                  <c:v>0.61603200000000002</c:v>
                </c:pt>
                <c:pt idx="168">
                  <c:v>1.1901600000000001</c:v>
                </c:pt>
                <c:pt idx="169">
                  <c:v>8.6780159999999995</c:v>
                </c:pt>
                <c:pt idx="170">
                  <c:v>55.987200000000009</c:v>
                </c:pt>
                <c:pt idx="171">
                  <c:v>10.258272</c:v>
                </c:pt>
                <c:pt idx="172">
                  <c:v>3.83616</c:v>
                </c:pt>
                <c:pt idx="173">
                  <c:v>4.1515199999999997</c:v>
                </c:pt>
                <c:pt idx="174">
                  <c:v>0</c:v>
                </c:pt>
                <c:pt idx="175">
                  <c:v>1.0368E-2</c:v>
                </c:pt>
                <c:pt idx="176">
                  <c:v>0.53300160000000008</c:v>
                </c:pt>
                <c:pt idx="177">
                  <c:v>1.71072</c:v>
                </c:pt>
                <c:pt idx="178">
                  <c:v>2.6301888000000004</c:v>
                </c:pt>
                <c:pt idx="179">
                  <c:v>2.1293280000000001</c:v>
                </c:pt>
                <c:pt idx="180">
                  <c:v>2.1917952000000001</c:v>
                </c:pt>
                <c:pt idx="181">
                  <c:v>18.668448000000001</c:v>
                </c:pt>
                <c:pt idx="182">
                  <c:v>27.216000000000001</c:v>
                </c:pt>
                <c:pt idx="183">
                  <c:v>18.105983999999999</c:v>
                </c:pt>
                <c:pt idx="184">
                  <c:v>3.6547200000000002</c:v>
                </c:pt>
                <c:pt idx="185">
                  <c:v>0.38301119999999994</c:v>
                </c:pt>
                <c:pt idx="186">
                  <c:v>2.14272E-2</c:v>
                </c:pt>
                <c:pt idx="187">
                  <c:v>0</c:v>
                </c:pt>
                <c:pt idx="188">
                  <c:v>9.6422399999999991E-2</c:v>
                </c:pt>
                <c:pt idx="189">
                  <c:v>0.83203199999999999</c:v>
                </c:pt>
                <c:pt idx="190">
                  <c:v>2.6221535999999994</c:v>
                </c:pt>
                <c:pt idx="191">
                  <c:v>2.8391039999999998</c:v>
                </c:pt>
                <c:pt idx="192">
                  <c:v>1.8724608000000003</c:v>
                </c:pt>
                <c:pt idx="193">
                  <c:v>9.0797760000000007</c:v>
                </c:pt>
                <c:pt idx="194">
                  <c:v>6.4281600000000001</c:v>
                </c:pt>
                <c:pt idx="195">
                  <c:v>7.0441919999999998</c:v>
                </c:pt>
                <c:pt idx="196">
                  <c:v>0.40694399999999997</c:v>
                </c:pt>
                <c:pt idx="197">
                  <c:v>5.6246400000000002E-2</c:v>
                </c:pt>
                <c:pt idx="198">
                  <c:v>2.9462399999999996E-2</c:v>
                </c:pt>
                <c:pt idx="199">
                  <c:v>1.2959999999999999E-2</c:v>
                </c:pt>
              </c:numCache>
            </c:numRef>
          </c:xVal>
          <c:yVal>
            <c:numRef>
              <c:f>'[1]T 3.23'!$S$48:$S$247</c:f>
              <c:numCache>
                <c:formatCode>General</c:formatCode>
                <c:ptCount val="200"/>
                <c:pt idx="0">
                  <c:v>7.41</c:v>
                </c:pt>
                <c:pt idx="1">
                  <c:v>4.34</c:v>
                </c:pt>
                <c:pt idx="2">
                  <c:v>3.51</c:v>
                </c:pt>
                <c:pt idx="3">
                  <c:v>0.63500000000000001</c:v>
                </c:pt>
                <c:pt idx="4">
                  <c:v>0.17699999999999999</c:v>
                </c:pt>
                <c:pt idx="5">
                  <c:v>6.7000000000000004E-2</c:v>
                </c:pt>
                <c:pt idx="6">
                  <c:v>2.5999999999999999E-2</c:v>
                </c:pt>
                <c:pt idx="7">
                  <c:v>7.8E-2</c:v>
                </c:pt>
                <c:pt idx="8">
                  <c:v>0.21299999999999999</c:v>
                </c:pt>
                <c:pt idx="9">
                  <c:v>0.16900000000000001</c:v>
                </c:pt>
                <c:pt idx="10">
                  <c:v>1.83</c:v>
                </c:pt>
                <c:pt idx="11">
                  <c:v>4.74</c:v>
                </c:pt>
                <c:pt idx="12">
                  <c:v>3.01</c:v>
                </c:pt>
                <c:pt idx="13">
                  <c:v>0.41899999999999998</c:v>
                </c:pt>
                <c:pt idx="14">
                  <c:v>0.23899999999999999</c:v>
                </c:pt>
                <c:pt idx="15">
                  <c:v>0.89</c:v>
                </c:pt>
                <c:pt idx="16">
                  <c:v>0.49099999999999999</c:v>
                </c:pt>
                <c:pt idx="17">
                  <c:v>3.1E-2</c:v>
                </c:pt>
                <c:pt idx="18">
                  <c:v>1E-3</c:v>
                </c:pt>
                <c:pt idx="19">
                  <c:v>2E-3</c:v>
                </c:pt>
                <c:pt idx="20">
                  <c:v>1E-3</c:v>
                </c:pt>
                <c:pt idx="21">
                  <c:v>1E-3</c:v>
                </c:pt>
                <c:pt idx="22">
                  <c:v>1.49</c:v>
                </c:pt>
                <c:pt idx="23">
                  <c:v>1.21</c:v>
                </c:pt>
                <c:pt idx="24">
                  <c:v>0.79500000000000004</c:v>
                </c:pt>
                <c:pt idx="25">
                  <c:v>5.2</c:v>
                </c:pt>
                <c:pt idx="26">
                  <c:v>1.17</c:v>
                </c:pt>
                <c:pt idx="27">
                  <c:v>1.42</c:v>
                </c:pt>
                <c:pt idx="28">
                  <c:v>0.13400000000000001</c:v>
                </c:pt>
                <c:pt idx="29">
                  <c:v>2.8000000000000001E-2</c:v>
                </c:pt>
                <c:pt idx="30">
                  <c:v>4.5999999999999999E-2</c:v>
                </c:pt>
                <c:pt idx="31">
                  <c:v>2.8000000000000001E-2</c:v>
                </c:pt>
                <c:pt idx="44">
                  <c:v>9.2999999999999999E-2</c:v>
                </c:pt>
                <c:pt idx="45">
                  <c:v>0.24</c:v>
                </c:pt>
                <c:pt idx="46">
                  <c:v>4.93</c:v>
                </c:pt>
                <c:pt idx="47">
                  <c:v>2.17</c:v>
                </c:pt>
                <c:pt idx="48">
                  <c:v>1.08</c:v>
                </c:pt>
                <c:pt idx="49">
                  <c:v>2.82</c:v>
                </c:pt>
                <c:pt idx="50">
                  <c:v>3.42</c:v>
                </c:pt>
                <c:pt idx="51">
                  <c:v>2</c:v>
                </c:pt>
                <c:pt idx="52">
                  <c:v>0.92700000000000005</c:v>
                </c:pt>
                <c:pt idx="53">
                  <c:v>0.214</c:v>
                </c:pt>
                <c:pt idx="54">
                  <c:v>0.214</c:v>
                </c:pt>
                <c:pt idx="55">
                  <c:v>0.17499999999999999</c:v>
                </c:pt>
                <c:pt idx="56">
                  <c:v>0.16091252841333312</c:v>
                </c:pt>
                <c:pt idx="57">
                  <c:v>0.28192344576993911</c:v>
                </c:pt>
                <c:pt idx="58">
                  <c:v>0.27356352142821594</c:v>
                </c:pt>
                <c:pt idx="59">
                  <c:v>0.29309392576861176</c:v>
                </c:pt>
                <c:pt idx="60">
                  <c:v>0.51701762041446131</c:v>
                </c:pt>
                <c:pt idx="61">
                  <c:v>2.1570729704169498</c:v>
                </c:pt>
                <c:pt idx="62">
                  <c:v>1.0798709993197391</c:v>
                </c:pt>
                <c:pt idx="63">
                  <c:v>0.30043327636840272</c:v>
                </c:pt>
                <c:pt idx="64">
                  <c:v>0.31048698378988238</c:v>
                </c:pt>
                <c:pt idx="65">
                  <c:v>5.2848799588525161E-2</c:v>
                </c:pt>
                <c:pt idx="66">
                  <c:v>2.1404722005608005E-2</c:v>
                </c:pt>
                <c:pt idx="67">
                  <c:v>1.5371206716331236E-2</c:v>
                </c:pt>
                <c:pt idx="68">
                  <c:v>0.19191252841333312</c:v>
                </c:pt>
                <c:pt idx="69">
                  <c:v>0.8949234457699391</c:v>
                </c:pt>
                <c:pt idx="70">
                  <c:v>1.4615635214282159</c:v>
                </c:pt>
                <c:pt idx="71">
                  <c:v>1.3540939257686118</c:v>
                </c:pt>
                <c:pt idx="72">
                  <c:v>1.5430176204144612</c:v>
                </c:pt>
                <c:pt idx="73">
                  <c:v>3.9470729704169498</c:v>
                </c:pt>
                <c:pt idx="74">
                  <c:v>4.3798709993197384</c:v>
                </c:pt>
                <c:pt idx="75">
                  <c:v>1.8214332763684027</c:v>
                </c:pt>
                <c:pt idx="76">
                  <c:v>0.14148698378988236</c:v>
                </c:pt>
                <c:pt idx="77">
                  <c:v>3.4848799588525159E-2</c:v>
                </c:pt>
                <c:pt idx="78">
                  <c:v>9.9404722005608001E-2</c:v>
                </c:pt>
                <c:pt idx="79">
                  <c:v>7.7371206716331228E-2</c:v>
                </c:pt>
                <c:pt idx="80">
                  <c:v>8.4912528413333105E-2</c:v>
                </c:pt>
                <c:pt idx="81">
                  <c:v>0.19792344576993912</c:v>
                </c:pt>
                <c:pt idx="82">
                  <c:v>0.2955635214282159</c:v>
                </c:pt>
                <c:pt idx="83">
                  <c:v>0.74509392576861178</c:v>
                </c:pt>
                <c:pt idx="84">
                  <c:v>1.6730176204144613</c:v>
                </c:pt>
                <c:pt idx="85">
                  <c:v>3.9570729704169501</c:v>
                </c:pt>
                <c:pt idx="86">
                  <c:v>1.4698709993197392</c:v>
                </c:pt>
                <c:pt idx="87">
                  <c:v>0.37343327636840273</c:v>
                </c:pt>
                <c:pt idx="88">
                  <c:v>0.12148698378988236</c:v>
                </c:pt>
                <c:pt idx="89">
                  <c:v>1.7848799588525161E-2</c:v>
                </c:pt>
                <c:pt idx="90">
                  <c:v>1.6404722005608004E-2</c:v>
                </c:pt>
                <c:pt idx="91">
                  <c:v>1.2371206716331237E-2</c:v>
                </c:pt>
                <c:pt idx="92">
                  <c:v>0.22691252841333312</c:v>
                </c:pt>
                <c:pt idx="93">
                  <c:v>0.29392344576993906</c:v>
                </c:pt>
                <c:pt idx="94">
                  <c:v>0.30156352142821591</c:v>
                </c:pt>
                <c:pt idx="95">
                  <c:v>2.1640939257686118</c:v>
                </c:pt>
                <c:pt idx="96">
                  <c:v>3.4130176204144616</c:v>
                </c:pt>
                <c:pt idx="97">
                  <c:v>0.98507297041695008</c:v>
                </c:pt>
                <c:pt idx="98">
                  <c:v>0.27987099931973913</c:v>
                </c:pt>
                <c:pt idx="99">
                  <c:v>0.1484332763684027</c:v>
                </c:pt>
                <c:pt idx="100">
                  <c:v>0.26748698378988239</c:v>
                </c:pt>
                <c:pt idx="101">
                  <c:v>1.5848799588525159E-2</c:v>
                </c:pt>
                <c:pt idx="102">
                  <c:v>2.4047220056080038E-3</c:v>
                </c:pt>
                <c:pt idx="103">
                  <c:v>4.4371206716331241E-2</c:v>
                </c:pt>
                <c:pt idx="104">
                  <c:v>0.14691252841333313</c:v>
                </c:pt>
                <c:pt idx="105">
                  <c:v>0.25492344576993908</c:v>
                </c:pt>
                <c:pt idx="106">
                  <c:v>0.34456352142821589</c:v>
                </c:pt>
                <c:pt idx="107">
                  <c:v>2.7040939257686119</c:v>
                </c:pt>
                <c:pt idx="108">
                  <c:v>4.2930176204144619</c:v>
                </c:pt>
                <c:pt idx="109">
                  <c:v>3.0070729704169499</c:v>
                </c:pt>
                <c:pt idx="110">
                  <c:v>3.4098709993197391</c:v>
                </c:pt>
                <c:pt idx="111">
                  <c:v>0.69443327636840269</c:v>
                </c:pt>
                <c:pt idx="112">
                  <c:v>0.22748698378988236</c:v>
                </c:pt>
                <c:pt idx="113">
                  <c:v>7.0848799588525163E-2</c:v>
                </c:pt>
                <c:pt idx="114">
                  <c:v>1.1404722005608003E-2</c:v>
                </c:pt>
                <c:pt idx="115">
                  <c:v>5.3712067163312373E-3</c:v>
                </c:pt>
                <c:pt idx="116">
                  <c:v>0.17691252841333313</c:v>
                </c:pt>
                <c:pt idx="117">
                  <c:v>0.40592344576993911</c:v>
                </c:pt>
                <c:pt idx="118">
                  <c:v>0.49456352142821591</c:v>
                </c:pt>
                <c:pt idx="119">
                  <c:v>0.29709392576861177</c:v>
                </c:pt>
                <c:pt idx="120">
                  <c:v>0.32001762041446136</c:v>
                </c:pt>
                <c:pt idx="121">
                  <c:v>4.10707297041695</c:v>
                </c:pt>
                <c:pt idx="122">
                  <c:v>3.1098709993197393</c:v>
                </c:pt>
                <c:pt idx="123">
                  <c:v>0.58843327636840281</c:v>
                </c:pt>
                <c:pt idx="124">
                  <c:v>0.89648698378988234</c:v>
                </c:pt>
                <c:pt idx="125">
                  <c:v>5.2848799588525161E-2</c:v>
                </c:pt>
                <c:pt idx="126">
                  <c:v>1.8404722005608005E-2</c:v>
                </c:pt>
                <c:pt idx="127">
                  <c:v>5.4371206716331236E-2</c:v>
                </c:pt>
                <c:pt idx="128">
                  <c:v>0.13991252841333313</c:v>
                </c:pt>
                <c:pt idx="129">
                  <c:v>0.99492344576993907</c:v>
                </c:pt>
                <c:pt idx="130">
                  <c:v>2.051563521428216</c:v>
                </c:pt>
                <c:pt idx="131">
                  <c:v>0.28309392576861175</c:v>
                </c:pt>
                <c:pt idx="132">
                  <c:v>0.69001762041446135</c:v>
                </c:pt>
                <c:pt idx="133">
                  <c:v>1.5170729704169501</c:v>
                </c:pt>
                <c:pt idx="134">
                  <c:v>0.28687099931973914</c:v>
                </c:pt>
                <c:pt idx="135">
                  <c:v>0.1514332763684027</c:v>
                </c:pt>
                <c:pt idx="136">
                  <c:v>0.10748698378988236</c:v>
                </c:pt>
                <c:pt idx="137">
                  <c:v>2.084879958852516E-2</c:v>
                </c:pt>
                <c:pt idx="138">
                  <c:v>1.7404722005608005E-2</c:v>
                </c:pt>
                <c:pt idx="139">
                  <c:v>2.5371206716331238E-2</c:v>
                </c:pt>
                <c:pt idx="140">
                  <c:v>6.8912528413333118E-2</c:v>
                </c:pt>
                <c:pt idx="141">
                  <c:v>0.5269234457699391</c:v>
                </c:pt>
                <c:pt idx="142">
                  <c:v>2.091563521428216</c:v>
                </c:pt>
                <c:pt idx="143">
                  <c:v>0.71509392576861175</c:v>
                </c:pt>
                <c:pt idx="144">
                  <c:v>0.92101762041446134</c:v>
                </c:pt>
                <c:pt idx="145">
                  <c:v>3.0770729704169502</c:v>
                </c:pt>
                <c:pt idx="146">
                  <c:v>2.2498709993197394</c:v>
                </c:pt>
                <c:pt idx="147">
                  <c:v>0.53343327636840265</c:v>
                </c:pt>
                <c:pt idx="148">
                  <c:v>0.13048698378988238</c:v>
                </c:pt>
                <c:pt idx="149">
                  <c:v>2.7848799588525163E-2</c:v>
                </c:pt>
                <c:pt idx="150">
                  <c:v>1.7404722005608005E-2</c:v>
                </c:pt>
                <c:pt idx="151">
                  <c:v>1.8371206716331238E-2</c:v>
                </c:pt>
                <c:pt idx="152">
                  <c:v>0.20091252841333312</c:v>
                </c:pt>
                <c:pt idx="153">
                  <c:v>0.14092344576993912</c:v>
                </c:pt>
                <c:pt idx="154">
                  <c:v>0.37456352142821592</c:v>
                </c:pt>
                <c:pt idx="155">
                  <c:v>0.24509392576861178</c:v>
                </c:pt>
                <c:pt idx="156">
                  <c:v>0.66701762041446133</c:v>
                </c:pt>
                <c:pt idx="157">
                  <c:v>1.0710729704169502</c:v>
                </c:pt>
                <c:pt idx="158">
                  <c:v>1.249870999319739</c:v>
                </c:pt>
                <c:pt idx="159">
                  <c:v>0.57743327636840269</c:v>
                </c:pt>
                <c:pt idx="160">
                  <c:v>0.18348698378988237</c:v>
                </c:pt>
                <c:pt idx="161">
                  <c:v>2.084879958852516E-2</c:v>
                </c:pt>
                <c:pt idx="162">
                  <c:v>8.4047220056080035E-3</c:v>
                </c:pt>
                <c:pt idx="163">
                  <c:v>1.2371206716331237E-2</c:v>
                </c:pt>
                <c:pt idx="164">
                  <c:v>5.6912528413333115E-2</c:v>
                </c:pt>
                <c:pt idx="165">
                  <c:v>8.7923445769939101E-2</c:v>
                </c:pt>
                <c:pt idx="166">
                  <c:v>0.32056352142821587</c:v>
                </c:pt>
                <c:pt idx="167">
                  <c:v>0.22309392576861176</c:v>
                </c:pt>
                <c:pt idx="168">
                  <c:v>0.21401762041446137</c:v>
                </c:pt>
                <c:pt idx="169">
                  <c:v>3.7670729704169501</c:v>
                </c:pt>
                <c:pt idx="170">
                  <c:v>5.7798709993197388</c:v>
                </c:pt>
                <c:pt idx="171">
                  <c:v>0.24343327636840273</c:v>
                </c:pt>
                <c:pt idx="172">
                  <c:v>0.12448698378988236</c:v>
                </c:pt>
                <c:pt idx="173">
                  <c:v>7.6848799588525155E-2</c:v>
                </c:pt>
                <c:pt idx="174">
                  <c:v>1.6404722005608004E-2</c:v>
                </c:pt>
                <c:pt idx="175">
                  <c:v>1.5371206716331236E-2</c:v>
                </c:pt>
                <c:pt idx="176">
                  <c:v>9.2912528413333112E-2</c:v>
                </c:pt>
                <c:pt idx="177">
                  <c:v>0.15592344576993911</c:v>
                </c:pt>
                <c:pt idx="178">
                  <c:v>0.40256352142821594</c:v>
                </c:pt>
                <c:pt idx="179">
                  <c:v>0.22509392576861176</c:v>
                </c:pt>
                <c:pt idx="180">
                  <c:v>0.57301762041446136</c:v>
                </c:pt>
                <c:pt idx="181">
                  <c:v>4.7770729704169499</c:v>
                </c:pt>
                <c:pt idx="182">
                  <c:v>1.9498709993197392</c:v>
                </c:pt>
                <c:pt idx="183">
                  <c:v>2.2314332763684028</c:v>
                </c:pt>
                <c:pt idx="184">
                  <c:v>0.15848698378988235</c:v>
                </c:pt>
                <c:pt idx="185">
                  <c:v>7.3848799588525152E-2</c:v>
                </c:pt>
                <c:pt idx="186">
                  <c:v>6.4404722005607998E-2</c:v>
                </c:pt>
                <c:pt idx="187">
                  <c:v>1.0371206716331238E-2</c:v>
                </c:pt>
                <c:pt idx="188">
                  <c:v>2.091252841333311E-2</c:v>
                </c:pt>
                <c:pt idx="189">
                  <c:v>0.13692344576993912</c:v>
                </c:pt>
                <c:pt idx="190">
                  <c:v>0.26956352142821594</c:v>
                </c:pt>
                <c:pt idx="191">
                  <c:v>0.63009392576861178</c:v>
                </c:pt>
                <c:pt idx="192">
                  <c:v>0.55001762041446134</c:v>
                </c:pt>
                <c:pt idx="193">
                  <c:v>0.91707297041695013</c:v>
                </c:pt>
                <c:pt idx="194">
                  <c:v>0.35887099931973915</c:v>
                </c:pt>
                <c:pt idx="195">
                  <c:v>1.1614332763684028</c:v>
                </c:pt>
                <c:pt idx="196">
                  <c:v>3.6486983789882362E-2</c:v>
                </c:pt>
                <c:pt idx="197">
                  <c:v>7.848799588525161E-3</c:v>
                </c:pt>
                <c:pt idx="198">
                  <c:v>5.4047220056080043E-3</c:v>
                </c:pt>
                <c:pt idx="199">
                  <c:v>5.3712067163312373E-3</c:v>
                </c:pt>
              </c:numCache>
            </c:numRef>
          </c:yVal>
          <c:smooth val="0"/>
          <c:extLst>
            <c:ext xmlns:c16="http://schemas.microsoft.com/office/drawing/2014/chart" uri="{C3380CC4-5D6E-409C-BE32-E72D297353CC}">
              <c16:uniqueId val="{00000002-9B1D-40E1-A49B-24ED5546F558}"/>
            </c:ext>
          </c:extLst>
        </c:ser>
        <c:dLbls>
          <c:showLegendKey val="0"/>
          <c:showVal val="0"/>
          <c:showCatName val="0"/>
          <c:showSerName val="0"/>
          <c:showPercent val="0"/>
          <c:showBubbleSize val="0"/>
        </c:dLbls>
        <c:axId val="157783168"/>
        <c:axId val="157784704"/>
      </c:scatterChart>
      <c:valAx>
        <c:axId val="157783168"/>
        <c:scaling>
          <c:orientation val="minMax"/>
        </c:scaling>
        <c:delete val="0"/>
        <c:axPos val="b"/>
        <c:numFmt formatCode="General" sourceLinked="1"/>
        <c:majorTickMark val="out"/>
        <c:minorTickMark val="none"/>
        <c:tickLblPos val="nextTo"/>
        <c:crossAx val="157784704"/>
        <c:crosses val="autoZero"/>
        <c:crossBetween val="midCat"/>
      </c:valAx>
      <c:valAx>
        <c:axId val="157784704"/>
        <c:scaling>
          <c:orientation val="minMax"/>
        </c:scaling>
        <c:delete val="0"/>
        <c:axPos val="l"/>
        <c:majorGridlines/>
        <c:numFmt formatCode="General" sourceLinked="1"/>
        <c:majorTickMark val="out"/>
        <c:minorTickMark val="none"/>
        <c:tickLblPos val="nextTo"/>
        <c:crossAx val="157783168"/>
        <c:crosses val="autoZero"/>
        <c:crossBetween val="midCat"/>
      </c:valAx>
    </c:plotArea>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228600</xdr:colOff>
      <xdr:row>326</xdr:row>
      <xdr:rowOff>133350</xdr:rowOff>
    </xdr:from>
    <xdr:to>
      <xdr:col>15</xdr:col>
      <xdr:colOff>342900</xdr:colOff>
      <xdr:row>341</xdr:row>
      <xdr:rowOff>161925</xdr:rowOff>
    </xdr:to>
    <xdr:graphicFrame macro="">
      <xdr:nvGraphicFramePr>
        <xdr:cNvPr id="2" name="Chart 1">
          <a:extLst>
            <a:ext uri="{FF2B5EF4-FFF2-40B4-BE49-F238E27FC236}">
              <a16:creationId xmlns:a16="http://schemas.microsoft.com/office/drawing/2014/main" id="{2AC7F4C7-FB5B-42C1-B37D-B74BF44E5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419100</xdr:colOff>
      <xdr:row>238</xdr:row>
      <xdr:rowOff>47625</xdr:rowOff>
    </xdr:from>
    <xdr:to>
      <xdr:col>27</xdr:col>
      <xdr:colOff>114300</xdr:colOff>
      <xdr:row>253</xdr:row>
      <xdr:rowOff>76200</xdr:rowOff>
    </xdr:to>
    <xdr:graphicFrame macro="">
      <xdr:nvGraphicFramePr>
        <xdr:cNvPr id="3" name="Chart 2">
          <a:extLst>
            <a:ext uri="{FF2B5EF4-FFF2-40B4-BE49-F238E27FC236}">
              <a16:creationId xmlns:a16="http://schemas.microsoft.com/office/drawing/2014/main" id="{D3BD7988-F320-4103-A896-86500F9A2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OKHAN\Desktop\2.ANKARA-%20SU%20TEMINI%20TABLOLAR.xlsx" TargetMode="External"/><Relationship Id="rId1" Type="http://schemas.openxmlformats.org/officeDocument/2006/relationships/externalLinkPath" Target="/Users/GOKHAN/Desktop/2.ANKARA-%20SU%20TEMINI%20TABLOLA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OHAMMAD%20UMAIR\Downloads\plot_dams_inputs.xlsx" TargetMode="External"/><Relationship Id="rId1" Type="http://schemas.openxmlformats.org/officeDocument/2006/relationships/externalLinkPath" Target="/Users/MOHAMMAD%20UMAIR/Downloads/plot_dams_input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Denizhan(yedek)\Do&#287;an&#231;ay\S&#252;perpoz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Denizhan(yedek)\Do&#287;an&#231;ay\S&#252;perpoz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Denizhan(yedek)\Do&#287;an&#231;ay\S&#252;perpoz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asserver\ortak\G&#252;lerProjeler\K&#252;&#231;&#252;k%20Reg.ve%20HES\turhanhidroloji\Denizhan(yedek)\Do&#287;an&#231;ay\S&#252;perpoz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enizhan(yedek)/Do&#287;an&#231;ay/S&#252;perpoz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hak\BEGEN.XLW"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dzsrv\server_d\excel%20word%20acad\BR&#304;F&#304;NG_AKTIF%20(version%201)%20(version%201)%20(version%20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spm08\SharedDocs\Denizhan(yedek)\Do&#287;an&#231;ay\S&#252;perpoz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asan/otoprod&#252;kt&#246;r/de&#287;irmendere/tonya/meteor-tonya/METEOROLOJ&#304;K%20VER&#304;LERk&#246;pr&#252;yan&#30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hasan\otoprod&#252;kt&#246;r\de&#287;irmendere\tonya\meteor-tonya\METEOROLOJ&#304;K%20VER&#304;LERk&#246;pr&#252;yan&#3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nakkale/Karakoy_Goleti/KARAKOY/TABLOLARve&#350;EK&#304;LLER-01.07.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Z:\Canakkale\Karakoy_Goleti\KARAKOY\TABLOLARve&#350;EK&#304;LLER-01.07.201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tbayyurt/AppData/Local/Microsoft/Windows/Temporary%20Internet%20Files/Content.Outlook/QMVVX436/prekast_cephe_elemani_analizi.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Z:\Users\tbayyurt\AppData\Local\Microsoft\Windows\Temporary%20Internet%20Files\Content.Outlook\QMVVX436\prekast_cephe_elemani_analizi.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tbayyurt/AppData/Local/Microsoft/Windows/Temporary%20Internet%20Files/Content.Outlook/QMVVX436/ongerme_kirisi_analizi.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Z:\Users\tbayyurt\AppData\Local\Microsoft\Windows\Temporary%20Internet%20Files\Content.Outlook\QMVVX436\ongerme_kirisi_analizi.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144.144.122.35\iklim_degisikligi\_HES_Projects\_Hidrokon\_Karakecili%20(Yesilirmak%20N)\Burgenc\_AylikAkimla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ldonat\d\Denizhan(yedek)\Do&#287;an&#231;ay\S&#252;perpoze.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R:\Fizibiliteler\Alkumru\Berk\AKIMLAR\Enerji-&#304;&#351;letme-narl&#30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04_HIDROLOJI\A&#350;A&#286;I_SAKARYA_ALT_HAVZASI_MASTER_PLANI\ASAGI_SAKARYA_HID_PLAN_RAP\RAPOR\EKLER.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NASSERVER\ortak\Belgelerim\rapor\H.CO&#350;KUN\E&#350;EN%20KARA&#199;AY%20BURGULAR(GEBE&#350;)%20HES%20PROJES&#304;%20H&#304;DROLOJ&#304;%20PLANLAMA%20RAPORU-II\KARA&#199;AY%20GRAG&#304;K%20VE%20TABLOLAR\&#304;&#351;letme%20i&#231;in%20%20su%20ihtiya&#231;lar&#305;%20Kara&#231;ay-Burgular%20%20Gebe&#351;%20HE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Belgelerim\rapor\H.CO&#350;KUN\E&#350;EN%20KARA&#199;AY%20BURGULAR(GEBE&#350;)%20HES%20PROJES&#304;%20H&#304;DROLOJ&#304;%20PLANLAMA%20RAPORU-II\KARA&#199;AY%20GRAG&#304;K%20VE%20TABLOLAR\&#304;&#351;letme%20i&#231;in%20%20su%20ihtiya&#231;lar&#305;%20Kara&#231;ay-Burgular%20%20Gebe&#351;%20HE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44.144.122.35\iklim_degisikligi\_HIDROKON_HES_Projeleri\Sahaban\Hidrokon\Sediment_Dicle%20(2605%20AGIden).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dzsrv\server_d\ANALIZ_PMB_SERTTA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nasserver\ortak\G&#252;lerProjeler\&#304;nk&#246;yHES\21-193%20KOZLUK%20&#199;AYI-A&#350;A&#286;I%20&#350;IHLAR\21-193%202005%20YILI.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Z:\G&#252;lerProjeler\&#304;nk&#246;yHES\21-193%20KOZLUK%20&#199;AYI-A&#350;A&#286;I%20&#350;IHLAR\21-193%202005%20YILI.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F:\_HES_Projects\TemelSu\TemelSu-Alkumru\_verilmeyecek__Sedimen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Z:\_HES_Projects\TemelSu\TemelSu-Alkumru\_verilmeyecek__Sedimen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LIMAK-XS2JT3DJJ\sezai%20payla&#351;&#305;m\Sezai%20&#199;oruhlu\G&#220;LSAN%202000\Hakedi&#351;\E5\HAKED&#304;&#350;LER\HAKED&#304;&#350;LER\E-5%20T&#220;T&#220;N&#199;&#304;FTL&#304;&#286;&#304;\20-F\KEYPLAN.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Belgelerim\rapor\MEHMET%20T&#220;ZEMEN\&#304;&#351;letme%20i&#231;in%20%20su%20ihtiya&#231;lar&#305;%20Kara&#231;ay-Burgular%20%20Gebe&#351;%20HE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Z:\Belgelerim\rapor\MEHMET%20T&#220;ZEMEN\&#304;&#351;letme%20i&#231;in%20%20su%20ihtiya&#231;lar&#305;%20Kara&#231;ay-Burgular%20%20Gebe&#351;%20HE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dzsrv\server_d\Documents%20and%20Settings\yonca\Belgelerim\B&#304;RLE&#350;T&#304;R&#304;LM&#304;&#350;%20ANAL&#304;Z%20VE%20TAR&#304;FLER%20(son)\BF_2004_Birlestirme_23%20Kasim%20200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dzsrv\server_d\Belgelerim\Ihaleler%20_%202000-2001-2002\BRFNG20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erver\z\barajlar\Il&#305;su%20Baraj\Il&#305;su%20analiz.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Documents%20and%20Settings/ekaradogan/Desktop/BO&#286;AZEVC&#304;%2017.09.2011/Copy%20of%20SON%20BO&#286;AZEVC&#304;%20SS&#304;%2012.08.201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S:\Documents%20and%20Settings\ekaradogan\Desktop\BO&#286;AZEVC&#304;%2017.09.2011\Copy%20of%20SON%20BO&#286;AZEVC&#304;%20SS&#304;%2012.08.201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Binnuruslu-\devam%20eden%20isler\Documents%20and%20Settings\nozer\Desktop\&#304;zmir_Goletler\Aslanlar\Aslanlar(zsy).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SAKARYA_HAVZASI/ANKARA%20&#199;AYI%20HAVZASI_1/ANKARA%20CAYI_HIDROLOJI_ARA_RAPORU_2/ankara%20ta&#351;k&#305;n/KOD_I_INCESU_.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Z:\SAKARYA_HAVZASI\ANKARA%20&#199;AYI%20HAVZASI_1\ANKARA%20CAYI_HIDROLOJI_ARA_RAPORU_2\ankara%20ta&#351;k&#305;n\KOD_I_INCESU_.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SAKARYA_HAVZASI/ANKARA%20&#199;AYI%20HAVZASI_1/ANKARA%20CAYI_HIDROLOJI_ARA_RAPORU_2/ankara%20ta&#351;k&#305;n/ANKARA.Tablolar_Sekiller.1__.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Z:\SAKARYA_HAVZASI\ANKARA%20&#199;AYI%20HAVZASI_1\ANKARA%20CAYI_HIDROLOJI_ARA_RAPORU_2\ankara%20ta&#351;k&#305;n\ANKARA.Tablolar_Sekiller.1__.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o&#287;ru\sayit\Denizhan(yedek)\Do&#287;an&#231;ay\S&#252;perpoze.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Isin\isin\Denizhan(yedek)\Do&#287;an&#231;ay\S&#252;perpoze.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144.144.122.35\iklim_degisikligi\teknik-proje\kadir\kasimlar\mustafa%20verilen\Basak%20Brj-Hidroloji\tablolar\Su-temini\Sulamala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I:\DELL%20D%20YEDEKLER\FAT&#304;H\_AutoHAK_KISAN_HAK60.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R:\Fizibiliteler\Aslanc&#305;k\Berk\aslanc&#305;k%201.rapor\Enerji&#304;&#351;letme(Aslanc&#305;k_Mevcut_Teklif).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inan\D\Denizhan(yedek)\&#304;kisu-Dereli-&#199;&#305;rakdam&#305;\Ak&#305;mlardan%20Dolay&#305;%20Revize\&#199;&#305;rakdam&#305;%20Fizibilite%20Raporu\Tablolar%20(B&#246;l&#252;m%204).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04_HIDROLOJI\A&#350;A&#286;I_SAKARYA_ALT_HAVZASI_MASTER_PLANI\ASAGI_SAKARYA_HIDROLOJI_ARA_RAPORU\Corelation%20Program(12-021%20ile%2012-057).xlsm"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dzsrv\server_d\Belgelerim\HAKED&#304;&#350;LER\2004\Belgelerim\&#199;al&#305;&#351;ma%20Program&#305;\2003%20YILI\Belgelerim\Kitap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Server\z\PROJELER\ANKARA%20G&#214;LETLER&#304;\YUKARI&#199;AVUNDUR\YUKARI%20&#199;AVUNDUR%20G&#214;LET&#304;%20PLANLAMA%20RAPORU\Y.&#199;AVUNDUR%20RAPOR%2030.08.2008\TABLO+&#350;EK&#304;L\KALEC&#304;K\G&#214;VDE-DOLUSAVAK%20OPT&#304;M&#304;ZASYONU\BATARDO\RAF-MADEN%20BATARDO-SON.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Task&#305;n\akarsu%20ortak%20(taskin)\DOCUME~1\teftis8\LOCALS~1\Temp\Rar$DI00.468\Dosyalar&#305;m\BUGRA_he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Z:\DOCUME~1\teftis8\LOCALS~1\Temp\Rar$DI00.468\Dosyalar&#305;m\BUGRA_hes.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Hdsrv\E\Nadir%20CAN\MASTER%20PLAN\MAN&#304;SA%20&#304;&#199;MESUYU%20PROJES&#304;\dolusavakkk-routing.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G:\DOCUME~1\teftis8\LOCALS~1\Temp\Rar$DI00.468\Dosyalar&#305;m\BUGRA_he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144.144.122.35\iklim_degisikligi\PROJELER\ADANA\HIDROLOJI\ADANA.%20H&#304;DROLOJ&#304;\FEKE%20GEDIKLI\NIHAI%20RAPOR\SON\isletme_cag\G&#246;let%20&#304;&#351;letme%20&#199;al&#305;&#351;mas&#305;%20Alternatifli_cag_on.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dzsrv\server_d\Documents%20and%20Settings\yonca\Desktop\Mehmet%20&#220;nl&#252;%20bey'in%20hakedi&#351;i\Hakedis%204734%20Belgeleri%20(%20Usak-Banaz%20Ustyapi%202004%20)_H5_kesin_hesapZZZZ_cika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dzsrv\server_d\Documents%20and%20Settings\yonca\Desktop\Mehmet%20&#220;nl&#252;%20bey'in%20hakedi&#351;i\Documents%20and%20Settings\BEYH&#304;M\Desktop\HAKED&#304;&#350;%20U&#350;AK\hakedi&#351;%20son\Beyhim%20Yes.Def.H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dzsrv\server_d\Documents%20and%20Settings\yonca\Desktop\Mehmet%20&#220;nl&#252;%20bey'in%20hakedi&#351;i\Belgelerim\HAKED&#304;&#350;LER\2003\GEN&#199;%20&#304;N&#350;\Belgelerim\Kitap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LIMAK-XS2JT3DJJ\sezai%20payla&#351;&#305;m\Sezai%20&#199;oruhlu\G&#220;LSAN%202001\TESP&#304;T%20TUTANAKLARI\2001%20F&#304;YATLARI\2001%20F&#304;YATLARI\E5hkd&#351;4.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G:\Belgelerim\rapor\H.CO&#350;KUN\E&#350;EN%20KARA&#199;AY%20BURGULAR(GEBE&#350;)%20HES%20PROJES&#304;%20H&#304;DROLOJ&#304;%20PLANLAMA%20RAPORU-II\KARA&#199;AY%20GRAG&#304;K%20VE%20TABLOLAR\&#304;&#351;letme%20i&#231;in%20%20su%20ihtiya&#231;lar&#305;%20Kara&#231;ay-Burgular%20%20Gebe&#351;%20HE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Z:\Belgelerim\rapor\H.CO&#350;KUN\E&#350;EN%20KARA&#199;AY%20BURGULAR(GEBE&#350;)%20HES%20PROJES&#304;%20H&#304;DROLOJ&#304;%20PLANLAMA%20RAPORU-II\KARA&#199;AY%20GRAG&#304;K%20VE%20TABLOLAR\&#304;&#351;letme%20i&#231;in%20%20su%20ihtiya&#231;lar&#305;%20Kara&#231;ay-Burgular%20%20Gebe&#351;%20HE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ask&#305;n\akarsu%20ortak%20(taskin)\Belgelerim\rapor\H.CO&#350;KUN\E&#350;EN%20KARA&#199;AY%20BURGULAR(GEBE&#350;)%20HES%20PROJES&#304;%20H&#304;DROLOJ&#304;%20PLANLAMA%20RAPORU-II\KARA&#199;AY%20GRAG&#304;K%20VE%20TABLOLAR\&#304;&#351;letme%20i&#231;in%20%20su%20ihtiya&#231;lar&#305;%20Kara&#231;ay-Burgular%20%20Gebe&#351;%20HE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enizhan\d\Denizhan(yedek)\&#304;kisu-Dereli-&#199;&#305;rakdam&#305;\Ak&#305;mlardan%20Dolay&#305;%20Revize\&#199;&#305;rakdam&#305;%20Fizibilite%20Raporu\Tablolar%20(B&#246;l&#252;m%20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dzsrv\server_d\Documents%20and%20Settings\yonca\Desktop\Mehmet%20&#220;nl&#252;%20bey'in%20hakedi&#351;i\Documents%20and%20Settings\Mehmet\Desktop\AutoHAK_UCF\AutoHAK_v50_XP_09_beyhim_micir_fig.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dzsrv\server_d\Belgelerim\&#199;al&#305;&#351;ma%20Program&#305;\2003%20YILI\Belgelerim\Kitap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Hdzsrv\server_d\Belgelerim\HAKED&#304;&#350;LER\2004\Belgelerim\&#199;al&#305;&#351;ma%20Program&#305;\2003%20YILI\ihale\hak\BEGEN.XLW"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F:\_HES_Projects\OA\OA_Alkumru\SuTemini-O\AylikAkimlar.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_HES_Projects\OA\OA_Alkumru\SuTemini-O\AylikAkimlar.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Ssargut\IZSU%20PROJESI\ssargut%20yedek\SACIT\Sacit2\CETIN%20BARAJI\Bolum%204%20Sekiller%20ve%20Tablolar%2017.12.2008'de%20Sacit%20Sargut'a%20verildi\Tablolar\4.1-4.48.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dzsrv\server_d\Belgelerim\HAKED&#304;&#350;LER\2004\Belgelerim\&#199;al&#305;&#351;ma%20Program&#305;\2003%20YILI\ihale\Belgelerim\Kitap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_HES_Projects\OA\OA_Polat\Qpik\Bolgesel.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RAFET-10.09.2007/6-NEVRUZ/1-a-&#214;N%20RAPOR/1-aaa-TASLAK%20RAPOR/3-c-Bitki-SU-NEVRUZ-TAMAMI.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Z:\RAFET-10.09.2007\6-NEVRUZ\1-a-&#214;N%20RAPOR\1-aaa-TASLAK%20RAPOR\3-c-Bitki-SU-NEVRUZ-TAMAMI.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F:\RAFET-10.09.2007\1-&#350;ARKI&#350;LA-KANAK-M&#220;SVEDDE\3-a%20B&#304;TK&#304;%20SU%20+%20&#304;&#350;LETME\3.3.1-Bitki-SU-DAMLAMA-KANAK-29.08-deneme.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RAFET/HAF&#304;K%20&#214;ZEN%20SULAMASI/B&#304;TK&#304;%20SU+&#304;&#350;LETME/PLAN-&#214;ZEN-SULAMA.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Z:\RAFET\HAF&#304;K%20&#214;ZEN%20SULAMASI\B&#304;TK&#304;%20SU+&#304;&#350;LETME\PLAN-&#214;ZEN-SULAMA.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Binnuruslu-\devam%20eden%20isler\_HES_Projects\OA\OA_Alkumru\Meteor\Buharlasmalar.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LIMAK-XS2JT3DJJ\sezai%20payla&#351;&#305;m\Excel\Fiyatlar\E5hkd&#351;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R:\Fizibiliteler\Aslanc&#305;k\Emin\Enerji&#304;&#351;letme(Aslanc&#305;k_Mevcut_Teklif).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Documents%20and%20Settings/lkaynar/Desktop/MAKESENS_1_0.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Z:\Documents%20and%20Settings\lkaynar\Desktop\MAKESENS_1_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Task&#305;n\akarsu%20ortak%20(taskin)\Belgelerim\rapor\MEHMET%20T&#220;ZEMEN\&#304;&#351;letme%20i&#231;in%20%20su%20ihtiya&#231;lar&#305;%20Kara&#231;ay-Burgular%20%20Gebe&#351;%20HE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F:\_HES_Projects\OA\OA_Alkumru\Meteor\Buharlasmalar.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Z:\_HES_Projects\OA\OA_Alkumru\Meteor\Buharlasmalar.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G:\Documents%20and%20Settings\sayitkoc\Desktop\KUMSU%20AYANLAR-PROJEL&#304;-YEN&#304;.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Z:\Documents%20and%20Settings\sayitkoc\Desktop\KUMSU%20AYANLAR-PROJEL&#304;-YEN&#304;.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R:\Fizibiliteler\Alkumru\Berk\dolusavak\SerbestDolusavakRouting_kil.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Dogruserver\d\Denizhan(yedek)\Do&#287;an&#231;ay\S&#252;perpoze.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LEVENT\LEVENT\Belgelerim\EXCEL\E-5%20Dosyas&#305;\E5hkd&#351;4.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Hdsrv\E\Yeni\BOLAMAN\iklim\ToplamYa&#287;&#305;&#351;.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Nasserver\ortak\G&#252;lerProjeler\K&#252;&#231;&#252;k%20Reg.ve%20HES\turhanhidroloji\My%20Documents\Otluca\Taskin-Hidrodizayn\MaksimumYa&#287;&#305;&#351;lar.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asserver\ortak\G&#252;lerProjeler\K&#252;&#231;&#252;k%20Reg.ve%20HES\turhanhidroloji\Yeni\BOLAMAN\iklim\ToplamYa&#287;&#305;&#35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Hdsrv\E\Yeni\BOLAMAN\iklim\Ayl&#305;kOrtS&#305;cakl&#305;k.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Yeni/BOLAMAN/iklim/Ayl&#305;kOrtS&#305;cakl&#305;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 3.17"/>
      <sheetName val="T 3.18"/>
      <sheetName val="T 3.19"/>
      <sheetName val="T 3.20"/>
      <sheetName val="T 3.21"/>
      <sheetName val="T 3.22"/>
      <sheetName val="T 3.23"/>
      <sheetName val="T 3.24"/>
      <sheetName val="T 3.25"/>
      <sheetName val="T 3.26"/>
      <sheetName val="T 3.27"/>
      <sheetName val="T 3.28"/>
      <sheetName val="Ş 3.6."/>
      <sheetName val="T 3.29."/>
      <sheetName val="T 3.30."/>
      <sheetName val="T 3.31."/>
      <sheetName val="T 3.32."/>
      <sheetName val="T 3.33."/>
      <sheetName val="T 3.34."/>
      <sheetName val="T 3.35"/>
      <sheetName val="T 3.36"/>
      <sheetName val="T 3.37"/>
      <sheetName val="T 3.38"/>
      <sheetName val="T 3.39"/>
      <sheetName val="T 3.40"/>
      <sheetName val="T 3.41"/>
      <sheetName val="Ş 3.7"/>
      <sheetName val="Ş 3.8"/>
      <sheetName val="T 3.42"/>
      <sheetName val="T 3.43"/>
      <sheetName val="T 3.44"/>
      <sheetName val="T 3.45"/>
      <sheetName val="T 3.46"/>
      <sheetName val="T 3.47"/>
      <sheetName val="Ş 3.9"/>
      <sheetName val="T 3.48"/>
      <sheetName val="T 3.49"/>
      <sheetName val="T 3.50"/>
      <sheetName val="T 3.51"/>
      <sheetName val="T 3.52"/>
      <sheetName val="Ş 3.10"/>
      <sheetName val="Ş 3.11"/>
      <sheetName val="T 3.53"/>
      <sheetName val="T 3.54"/>
      <sheetName val="T 3.55"/>
      <sheetName val="T 3.56"/>
      <sheetName val="T 3.57"/>
      <sheetName val="T 3.58"/>
      <sheetName val="T 3.128."/>
      <sheetName val="Ş 3.12"/>
      <sheetName val="Ş 3.13"/>
      <sheetName val="Ş 3.14"/>
      <sheetName val="T 3.59"/>
      <sheetName val="T 3.60"/>
      <sheetName val="T 3.61"/>
      <sheetName val="T 3.62"/>
      <sheetName val="T 3.63"/>
      <sheetName val="Ş 3.15"/>
      <sheetName val="Ş 3.16"/>
      <sheetName val="T 3.64"/>
      <sheetName val="T 3.65"/>
      <sheetName val="T 3.66"/>
      <sheetName val="T 3.67"/>
      <sheetName val="T 3.68"/>
      <sheetName val="T 3.69"/>
      <sheetName val="T 3.70"/>
      <sheetName val="T 3.71"/>
      <sheetName val="T 3.72"/>
      <sheetName val="T 3.73"/>
      <sheetName val="T 3.74"/>
      <sheetName val="T 3.75"/>
      <sheetName val="T 3.76"/>
      <sheetName val="T 3.77"/>
      <sheetName val="T 3.78"/>
      <sheetName val="T 3.79"/>
      <sheetName val="T 3.80"/>
      <sheetName val="T 3.81"/>
      <sheetName val="T 3.82"/>
      <sheetName val="T 3.83"/>
      <sheetName val="T 3.84"/>
      <sheetName val="T 3.85"/>
      <sheetName val="T 3.86"/>
      <sheetName val="T 3.87"/>
      <sheetName val="T 3.88"/>
      <sheetName val="Ş 3.17"/>
      <sheetName val="Ş 3.18"/>
      <sheetName val="Ş 3.19"/>
      <sheetName val="T 3.89"/>
      <sheetName val="T 3.90"/>
      <sheetName val="T 3.91"/>
      <sheetName val="T 3.92"/>
      <sheetName val="T 3.93"/>
      <sheetName val="T 3.94"/>
      <sheetName val="T 3.95"/>
      <sheetName val="T 3.96"/>
      <sheetName val="T 3.97"/>
      <sheetName val="T 3.98"/>
      <sheetName val="T 3.99"/>
      <sheetName val="T 3.100"/>
      <sheetName val="T 3.101"/>
      <sheetName val="T 3.102"/>
      <sheetName val="T 3.103"/>
      <sheetName val="T 3.104"/>
      <sheetName val="T 3.105"/>
      <sheetName val="T 3.106"/>
      <sheetName val="T 3.107"/>
      <sheetName val="T 3.108"/>
      <sheetName val="T 3.109"/>
      <sheetName val="T 3.110"/>
      <sheetName val="T 3.111."/>
      <sheetName val="T 3.112"/>
      <sheetName val="T 3.113"/>
      <sheetName val="T 3.114"/>
      <sheetName val="T 3.115"/>
      <sheetName val="T 116"/>
      <sheetName val="T 3.117"/>
      <sheetName val="Ş 3.20"/>
      <sheetName val="T 3.118"/>
      <sheetName val="Ş 3.21"/>
      <sheetName val="T 3.119"/>
      <sheetName val="T 3.232."/>
      <sheetName val="T 3.120"/>
      <sheetName val="T 3.121"/>
      <sheetName val="T 3.122"/>
      <sheetName val="T 3.123"/>
      <sheetName val="T 3.124"/>
      <sheetName val="T 3.125"/>
      <sheetName val="T 3.220"/>
      <sheetName val="T 3.126"/>
      <sheetName val="T 3.127"/>
      <sheetName val="T 3.128"/>
      <sheetName val="Tablo 3.129"/>
      <sheetName val="T 3.130"/>
      <sheetName val="T 3.131"/>
      <sheetName val="T 3.132"/>
      <sheetName val="T 3.133"/>
      <sheetName val="T 3.134"/>
      <sheetName val="T 3.135"/>
      <sheetName val="T 3.136"/>
      <sheetName val="T 3.137"/>
      <sheetName val="T 3.138"/>
      <sheetName val="T 3.139"/>
      <sheetName val="T 3.140"/>
      <sheetName val="Ş 3.22"/>
      <sheetName val="T 3.141"/>
      <sheetName val="T 3.142"/>
      <sheetName val="T 3.143"/>
      <sheetName val="T 3.144"/>
      <sheetName val="T 3.257.."/>
      <sheetName val="T 3.145"/>
      <sheetName val="T 3.146"/>
      <sheetName val="T 3.147"/>
      <sheetName val="T 3.148"/>
      <sheetName val="T 3.149"/>
      <sheetName val="T 3.150"/>
      <sheetName val="T 3.151"/>
      <sheetName val="T 3.152"/>
      <sheetName val="T 3.153"/>
      <sheetName val="T 3.154"/>
      <sheetName val="T 3.155"/>
      <sheetName val="T 3.156"/>
      <sheetName val="T 3.157"/>
      <sheetName val="T 3.158"/>
      <sheetName val="T 3.159"/>
      <sheetName val="T 3.160"/>
      <sheetName val="T 3.161"/>
      <sheetName val="T 3.162"/>
      <sheetName val="T 3.163."/>
      <sheetName val="T 3.273."/>
      <sheetName val="T 3.164."/>
      <sheetName val="T 3.165"/>
      <sheetName val="T 3.166."/>
      <sheetName val="T 3.167."/>
      <sheetName val="T 3.168"/>
      <sheetName val="T 3.169"/>
      <sheetName val="T 3.170"/>
      <sheetName val="T 3.171"/>
      <sheetName val="T 3.172"/>
      <sheetName val="T 3.173"/>
      <sheetName val="T 3.174"/>
      <sheetName val="T 3.175."/>
      <sheetName val="T 3.176."/>
      <sheetName val="T 3.177"/>
      <sheetName val="T 3.178"/>
      <sheetName val="T 3.179"/>
      <sheetName val="T 3.180"/>
      <sheetName val="T 3.181"/>
      <sheetName val="T 3.182"/>
      <sheetName val="T 3.183"/>
      <sheetName val="T 3.184"/>
      <sheetName val="T 3.185"/>
      <sheetName val="T 3.186"/>
      <sheetName val="T 3.187"/>
      <sheetName val="T 3.188"/>
      <sheetName val="T 3.189"/>
      <sheetName val="T 3.190"/>
      <sheetName val="T 3.191"/>
      <sheetName val="T 3.192"/>
      <sheetName val="T 3.193"/>
      <sheetName val="T 3.194"/>
      <sheetName val="T 3.195"/>
      <sheetName val="T 3.196"/>
      <sheetName val="T 3.197"/>
      <sheetName val="T 3.198"/>
      <sheetName val="T 3.199"/>
      <sheetName val="T 3.200"/>
      <sheetName val="T 3.201"/>
      <sheetName val="T 3.202"/>
      <sheetName val="T 3.203"/>
      <sheetName val="T 3.204"/>
      <sheetName val="T 3.205"/>
      <sheetName val="T 3.206"/>
      <sheetName val="T 3.207"/>
      <sheetName val="T 3.208"/>
      <sheetName val="T 3.209"/>
      <sheetName val="T 3.210"/>
      <sheetName val="T3.211"/>
      <sheetName val="T 3.212"/>
      <sheetName val="T 3.213"/>
      <sheetName val="T 3.214"/>
      <sheetName val="T 3.215.."/>
      <sheetName val="T 3.216.."/>
      <sheetName val="T 3.217.."/>
      <sheetName val="T 3.218.."/>
      <sheetName val="T 3.219"/>
      <sheetName val="T 3.220.."/>
      <sheetName val="T 3.221"/>
      <sheetName val="T 3.222"/>
      <sheetName val="T 3.223"/>
      <sheetName val="T 3.224"/>
      <sheetName val="T 3.225"/>
      <sheetName val="T 3.226"/>
      <sheetName val="T 3.227"/>
      <sheetName val="T 3.228"/>
      <sheetName val="T 3.229."/>
      <sheetName val="T 3.230."/>
      <sheetName val="T 3.231."/>
      <sheetName val="T 3.232.."/>
      <sheetName val="T 3.233"/>
      <sheetName val="T 3.234"/>
      <sheetName val="T 3.235"/>
      <sheetName val="T 3.236"/>
      <sheetName val="T 3.237"/>
      <sheetName val="T 3.238"/>
      <sheetName val="T 3.239."/>
      <sheetName val="T 3.240"/>
      <sheetName val="T 3.241."/>
      <sheetName val="T 3.242."/>
      <sheetName val="T 3.243.."/>
      <sheetName val="T 3.244."/>
      <sheetName val="T 3.85."/>
      <sheetName val="T 3.87."/>
      <sheetName val="T 3.88."/>
      <sheetName val="T 3.90."/>
      <sheetName val="T 3.91."/>
      <sheetName val="T 3.92."/>
      <sheetName val="T 3.93."/>
      <sheetName val="T 3.94."/>
      <sheetName val="T 3.101."/>
      <sheetName val="T 3.102."/>
      <sheetName val="T 3.103."/>
      <sheetName val="T 3.104."/>
      <sheetName val="T 3.116."/>
      <sheetName val="T 3.117."/>
      <sheetName val="T 3.118."/>
      <sheetName val="T 3.119."/>
      <sheetName val="T 3.120."/>
      <sheetName val="T 3.125."/>
      <sheetName val="T 3.126."/>
      <sheetName val="T 3.135."/>
      <sheetName val="T 3.136."/>
      <sheetName val="T 3.137."/>
      <sheetName val="T 3.138."/>
      <sheetName val="T 3.139."/>
      <sheetName val="T 3.157."/>
      <sheetName val="T 3.158."/>
      <sheetName val="T 3.179."/>
      <sheetName val="T 3.180."/>
      <sheetName val="T 3.181."/>
      <sheetName val="T 3.182."/>
      <sheetName val="T 3.183."/>
      <sheetName val="T 3.184."/>
      <sheetName val="T 3.191."/>
      <sheetName val="T 3.192."/>
      <sheetName val="T 3.193."/>
      <sheetName val="T 3.194."/>
      <sheetName val="T 3.195."/>
      <sheetName val="T 3.196."/>
      <sheetName val="T 3.198."/>
      <sheetName val="T 3.199."/>
      <sheetName val="T 3.200."/>
      <sheetName val="T 3.201."/>
      <sheetName val="T 3.203."/>
      <sheetName val="T 3.204."/>
      <sheetName val="T 3.205."/>
      <sheetName val="T 3.206."/>
      <sheetName val="T 3.207."/>
      <sheetName val="T 3.208."/>
      <sheetName val="T 3.209."/>
      <sheetName val="T 3.210."/>
      <sheetName val="T 3.212."/>
      <sheetName val="T 3.213."/>
      <sheetName val="T 3.214."/>
      <sheetName val="T 3.215."/>
      <sheetName val="T 3.216."/>
      <sheetName val="T 3.217."/>
      <sheetName val="T 3.218."/>
      <sheetName val="T 3.219."/>
      <sheetName val="T 3.221."/>
      <sheetName val="T 3.222."/>
      <sheetName val="T 3.223."/>
      <sheetName val="T 3.224."/>
      <sheetName val="T 3.253.."/>
      <sheetName val="T 3.262."/>
      <sheetName val="T 3.266."/>
      <sheetName val="T 3.270."/>
      <sheetName val="T 3.283."/>
      <sheetName val="T 3.302"/>
      <sheetName val="T 3.326."/>
      <sheetName val="T 3.229"/>
      <sheetName val="T 3.231"/>
      <sheetName val="T 3.241"/>
      <sheetName val="T 3.239"/>
      <sheetName val="T 3.242"/>
      <sheetName val="T 3.243"/>
      <sheetName val="T 3.244"/>
      <sheetName val="T 3.245"/>
      <sheetName val="T 3.246"/>
      <sheetName val="T 3.253"/>
      <sheetName val="T 3.254"/>
      <sheetName val="T 3.255"/>
      <sheetName val="T 3.256"/>
      <sheetName val="T 3.257."/>
      <sheetName val="T 3.258"/>
      <sheetName val="T 3.259"/>
      <sheetName val="T 3.262"/>
      <sheetName val="T 3.263"/>
      <sheetName val="T 3.265"/>
      <sheetName val="T 3.266"/>
      <sheetName val="T 3.267"/>
      <sheetName val="12-026"/>
      <sheetName val="12-075"/>
      <sheetName val="12-083"/>
      <sheetName val="12-129"/>
      <sheetName val="12-147"/>
      <sheetName val="12-238"/>
      <sheetName val="12-242"/>
      <sheetName val="1239"/>
      <sheetName val="T 3."/>
      <sheetName val="Bay. B. İşlet."/>
      <sheetName val="Kızık G."/>
      <sheetName val="Kavşak B.A."/>
      <sheetName val="12-147 Doğ.A."/>
      <sheetName val="Eğrek. B. İç. S."/>
      <sheetName val="Kav.Su Hak."/>
      <sheetName val="12-039 Tam. Doğ.A."/>
      <sheetName val="Kurt. B. Doğ. Ak."/>
      <sheetName val="Kurt. B. İç. S.Ver.HAV."/>
      <sheetName val="Çamlıdere B. İşl.Ç."/>
      <sheetName val="Sheet7"/>
      <sheetName val="Sheet1"/>
      <sheetName val="Mev. D. Ova Ç. Tük. Tüm. S."/>
      <sheetName val="Sheet2"/>
      <sheetName val="Ankara Çayı Tük."/>
      <sheetName val="Sheet3"/>
      <sheetName val="Sheet4"/>
      <sheetName val="Sheet5"/>
      <sheetName val="Sheet6"/>
      <sheetName val="Sheet10"/>
      <sheetName val="Sheet15"/>
      <sheetName val="T 3.162-1"/>
      <sheetName val="T 3.163"/>
      <sheetName val="T 3.164"/>
      <sheetName val="T 3.166"/>
      <sheetName val="T 3.167"/>
      <sheetName val="T 3.175"/>
      <sheetName val="T 3.176"/>
      <sheetName val="Sheet8"/>
      <sheetName val="Sheet18"/>
      <sheetName val="T 3.215"/>
      <sheetName val="T 3.216"/>
      <sheetName val="T 3.217"/>
      <sheetName val="T 3.218"/>
      <sheetName val="Sheet9"/>
      <sheetName val="Sheet13"/>
      <sheetName val="Sheet14"/>
      <sheetName val="Sheet16"/>
      <sheetName val="Sheet19"/>
      <sheetName val="Sheet12"/>
      <sheetName val="Sheet17"/>
      <sheetName val="Sheet23"/>
      <sheetName val="Sheet24"/>
      <sheetName val="Sheet21"/>
      <sheetName val="Sheet22"/>
      <sheetName val="Sheet25"/>
      <sheetName val="Sheet26"/>
      <sheetName val="Sheet27"/>
      <sheetName val="Sheet29"/>
      <sheetName val="Sheet28"/>
      <sheetName val="Sheet31"/>
      <sheetName val="Tablo 5.1"/>
      <sheetName val="Sheet35"/>
      <sheetName val="2025 tük."/>
      <sheetName val="Mevcut_dur_tük"/>
      <sheetName val="Kurtboğazı B. Tük. S."/>
      <sheetName val="Kavşak. B. Tük S."/>
    </sheetNames>
    <sheetDataSet>
      <sheetData sheetId="0" refreshError="1"/>
      <sheetData sheetId="1" refreshError="1"/>
      <sheetData sheetId="2" refreshError="1"/>
      <sheetData sheetId="3"/>
      <sheetData sheetId="4"/>
      <sheetData sheetId="5"/>
      <sheetData sheetId="6">
        <row r="48">
          <cell r="R48">
            <v>21.555071999999999</v>
          </cell>
          <cell r="S48">
            <v>7.41</v>
          </cell>
        </row>
        <row r="49">
          <cell r="R49">
            <v>23.382432000000001</v>
          </cell>
          <cell r="S49">
            <v>4.34</v>
          </cell>
        </row>
        <row r="50">
          <cell r="R50">
            <v>27.216000000000001</v>
          </cell>
          <cell r="S50">
            <v>3.51</v>
          </cell>
        </row>
        <row r="51">
          <cell r="R51">
            <v>10.552896</v>
          </cell>
          <cell r="S51">
            <v>0.63500000000000001</v>
          </cell>
        </row>
        <row r="52">
          <cell r="R52">
            <v>3.0585599999999999</v>
          </cell>
          <cell r="S52">
            <v>0.17699999999999999</v>
          </cell>
        </row>
        <row r="53">
          <cell r="R53">
            <v>0.34551360000000003</v>
          </cell>
          <cell r="S53">
            <v>6.7000000000000004E-2</v>
          </cell>
        </row>
        <row r="54">
          <cell r="R54">
            <v>0</v>
          </cell>
          <cell r="S54">
            <v>2.5999999999999999E-2</v>
          </cell>
        </row>
        <row r="55">
          <cell r="R55">
            <v>6.7391999999999994E-2</v>
          </cell>
          <cell r="S55">
            <v>7.8E-2</v>
          </cell>
        </row>
        <row r="56">
          <cell r="R56">
            <v>1.2695615999999998</v>
          </cell>
          <cell r="S56">
            <v>0.21299999999999999</v>
          </cell>
        </row>
        <row r="57">
          <cell r="R57">
            <v>1.3115520000000001</v>
          </cell>
          <cell r="S57">
            <v>0.16900000000000001</v>
          </cell>
        </row>
        <row r="58">
          <cell r="R58">
            <v>9.4279679999999999</v>
          </cell>
          <cell r="S58">
            <v>1.83</v>
          </cell>
        </row>
        <row r="59">
          <cell r="R59">
            <v>15.159744</v>
          </cell>
          <cell r="S59">
            <v>4.74</v>
          </cell>
        </row>
        <row r="60">
          <cell r="R60">
            <v>21.748608000000001</v>
          </cell>
          <cell r="S60">
            <v>3.01</v>
          </cell>
        </row>
        <row r="61">
          <cell r="R61">
            <v>17.141760000000001</v>
          </cell>
          <cell r="S61">
            <v>0.41899999999999998</v>
          </cell>
        </row>
        <row r="62">
          <cell r="R62">
            <v>9.61632</v>
          </cell>
          <cell r="S62">
            <v>0.23899999999999999</v>
          </cell>
        </row>
        <row r="63">
          <cell r="R63">
            <v>4.1783039999999998</v>
          </cell>
          <cell r="S63">
            <v>0.89</v>
          </cell>
        </row>
        <row r="64">
          <cell r="R64">
            <v>1.3193280000000001</v>
          </cell>
          <cell r="S64">
            <v>0.49099999999999999</v>
          </cell>
        </row>
        <row r="65">
          <cell r="R65">
            <v>0.31605119999999998</v>
          </cell>
          <cell r="S65">
            <v>3.1E-2</v>
          </cell>
        </row>
        <row r="66">
          <cell r="R66">
            <v>0.2089152</v>
          </cell>
          <cell r="S66">
            <v>1E-3</v>
          </cell>
        </row>
        <row r="67">
          <cell r="R67">
            <v>2.5920000000000001E-3</v>
          </cell>
          <cell r="S67">
            <v>2E-3</v>
          </cell>
        </row>
        <row r="68">
          <cell r="R68">
            <v>1E-3</v>
          </cell>
          <cell r="S68">
            <v>1E-3</v>
          </cell>
        </row>
        <row r="69">
          <cell r="R69">
            <v>1E-3</v>
          </cell>
          <cell r="S69">
            <v>1E-3</v>
          </cell>
        </row>
        <row r="70">
          <cell r="R70">
            <v>6.240672</v>
          </cell>
          <cell r="S70">
            <v>1.49</v>
          </cell>
        </row>
        <row r="71">
          <cell r="R71">
            <v>3.4283519999999998</v>
          </cell>
          <cell r="S71">
            <v>1.21</v>
          </cell>
        </row>
        <row r="72">
          <cell r="R72">
            <v>3.6331199999999999</v>
          </cell>
          <cell r="S72">
            <v>0.79500000000000004</v>
          </cell>
        </row>
        <row r="73">
          <cell r="R73">
            <v>21.052223999999999</v>
          </cell>
          <cell r="S73">
            <v>5.2</v>
          </cell>
        </row>
        <row r="74">
          <cell r="R74">
            <v>23.794560000000001</v>
          </cell>
          <cell r="S74">
            <v>1.17</v>
          </cell>
        </row>
        <row r="75">
          <cell r="R75">
            <v>16.659648000000001</v>
          </cell>
          <cell r="S75">
            <v>1.42</v>
          </cell>
        </row>
        <row r="76">
          <cell r="R76">
            <v>3.1103999999999998</v>
          </cell>
          <cell r="S76">
            <v>0.13400000000000001</v>
          </cell>
        </row>
        <row r="77">
          <cell r="R77">
            <v>0.58121279999999997</v>
          </cell>
          <cell r="S77">
            <v>2.8000000000000001E-2</v>
          </cell>
        </row>
        <row r="78">
          <cell r="R78">
            <v>4.0176000000000003E-2</v>
          </cell>
          <cell r="S78">
            <v>4.5999999999999999E-2</v>
          </cell>
        </row>
        <row r="79">
          <cell r="R79">
            <v>0</v>
          </cell>
          <cell r="S79">
            <v>2.8000000000000001E-2</v>
          </cell>
        </row>
        <row r="80">
          <cell r="R80">
            <v>1.2293855999999999</v>
          </cell>
        </row>
        <row r="81">
          <cell r="R81">
            <v>1.848096</v>
          </cell>
        </row>
        <row r="82">
          <cell r="R82">
            <v>2.5578720000000001</v>
          </cell>
        </row>
        <row r="83">
          <cell r="R83">
            <v>6.3210240000000004</v>
          </cell>
        </row>
        <row r="84">
          <cell r="R84">
            <v>10.088063999999999</v>
          </cell>
        </row>
        <row r="85">
          <cell r="R85">
            <v>45.264959999999995</v>
          </cell>
        </row>
        <row r="86">
          <cell r="R86">
            <v>26.956800000000001</v>
          </cell>
        </row>
        <row r="87">
          <cell r="R87">
            <v>13.552703999999999</v>
          </cell>
        </row>
        <row r="88">
          <cell r="R88">
            <v>2.7475200000000002</v>
          </cell>
        </row>
        <row r="89">
          <cell r="R89">
            <v>1.8561311999999999</v>
          </cell>
        </row>
        <row r="90">
          <cell r="R90">
            <v>0</v>
          </cell>
        </row>
        <row r="91">
          <cell r="R91">
            <v>7.5167999999999999E-2</v>
          </cell>
        </row>
        <row r="92">
          <cell r="R92">
            <v>0.46871999999999991</v>
          </cell>
          <cell r="S92">
            <v>9.2999999999999999E-2</v>
          </cell>
        </row>
        <row r="93">
          <cell r="R93">
            <v>1.702944</v>
          </cell>
          <cell r="S93">
            <v>0.24</v>
          </cell>
        </row>
        <row r="94">
          <cell r="R94">
            <v>48.746879999999997</v>
          </cell>
          <cell r="S94">
            <v>4.93</v>
          </cell>
        </row>
        <row r="95">
          <cell r="R95">
            <v>13.874112</v>
          </cell>
          <cell r="S95">
            <v>2.17</v>
          </cell>
        </row>
        <row r="96">
          <cell r="R96">
            <v>4.5722880000000004</v>
          </cell>
          <cell r="S96">
            <v>1.08</v>
          </cell>
        </row>
        <row r="97">
          <cell r="R97">
            <v>11.892096000000002</v>
          </cell>
          <cell r="S97">
            <v>2.82</v>
          </cell>
        </row>
        <row r="98">
          <cell r="R98">
            <v>25.271999999999998</v>
          </cell>
          <cell r="S98">
            <v>3.42</v>
          </cell>
        </row>
        <row r="99">
          <cell r="R99">
            <v>11.436767999999999</v>
          </cell>
          <cell r="S99">
            <v>2</v>
          </cell>
        </row>
        <row r="100">
          <cell r="R100">
            <v>5.4691200000000002</v>
          </cell>
          <cell r="S100">
            <v>0.92700000000000005</v>
          </cell>
        </row>
        <row r="101">
          <cell r="R101">
            <v>1.7302464000000002</v>
          </cell>
          <cell r="S101">
            <v>0.214</v>
          </cell>
        </row>
        <row r="102">
          <cell r="R102">
            <v>3.455136</v>
          </cell>
          <cell r="S102">
            <v>0.214</v>
          </cell>
        </row>
        <row r="103">
          <cell r="R103">
            <v>0.78537599999999996</v>
          </cell>
          <cell r="S103">
            <v>0.17499999999999999</v>
          </cell>
        </row>
        <row r="104">
          <cell r="R104">
            <v>1.5266879999999998</v>
          </cell>
          <cell r="S104">
            <v>0.16091252841333312</v>
          </cell>
        </row>
        <row r="105">
          <cell r="R105">
            <v>0.95644799999999996</v>
          </cell>
          <cell r="S105">
            <v>0.28192344576993911</v>
          </cell>
        </row>
        <row r="106">
          <cell r="R106">
            <v>0.94547519999999996</v>
          </cell>
          <cell r="S106">
            <v>0.27356352142821594</v>
          </cell>
        </row>
        <row r="107">
          <cell r="R107">
            <v>2.0436191999999997</v>
          </cell>
          <cell r="S107">
            <v>0.29309392576861176</v>
          </cell>
        </row>
        <row r="108">
          <cell r="R108">
            <v>3.2417280000000002</v>
          </cell>
          <cell r="S108">
            <v>0.51701762041446131</v>
          </cell>
        </row>
        <row r="109">
          <cell r="R109">
            <v>12.829535999999999</v>
          </cell>
          <cell r="S109">
            <v>2.1570729704169498</v>
          </cell>
        </row>
        <row r="110">
          <cell r="R110">
            <v>19.025279999999999</v>
          </cell>
          <cell r="S110">
            <v>1.0798709993197391</v>
          </cell>
        </row>
        <row r="111">
          <cell r="R111">
            <v>4.0711680000000001</v>
          </cell>
          <cell r="S111">
            <v>0.30043327636840272</v>
          </cell>
        </row>
        <row r="112">
          <cell r="R112">
            <v>4.4323199999999998</v>
          </cell>
          <cell r="S112">
            <v>0.31048698378988238</v>
          </cell>
        </row>
        <row r="113">
          <cell r="R113">
            <v>3.6961919999999995</v>
          </cell>
          <cell r="S113">
            <v>5.2848799588525161E-2</v>
          </cell>
        </row>
        <row r="114">
          <cell r="R114">
            <v>1.7114976</v>
          </cell>
          <cell r="S114">
            <v>2.1404722005608005E-2</v>
          </cell>
        </row>
        <row r="115">
          <cell r="R115">
            <v>0.44064000000000003</v>
          </cell>
          <cell r="S115">
            <v>1.5371206716331236E-2</v>
          </cell>
        </row>
        <row r="116">
          <cell r="R116">
            <v>0.73388160000000013</v>
          </cell>
          <cell r="S116">
            <v>0.19191252841333312</v>
          </cell>
        </row>
        <row r="117">
          <cell r="R117">
            <v>2.7993600000000001</v>
          </cell>
          <cell r="S117">
            <v>0.8949234457699391</v>
          </cell>
        </row>
        <row r="118">
          <cell r="R118">
            <v>4.1247360000000004</v>
          </cell>
          <cell r="S118">
            <v>1.4615635214282159</v>
          </cell>
        </row>
        <row r="119">
          <cell r="R119">
            <v>2.3328864</v>
          </cell>
          <cell r="S119">
            <v>1.3540939257686118</v>
          </cell>
        </row>
        <row r="120">
          <cell r="R120">
            <v>3.7333440000000002</v>
          </cell>
          <cell r="S120">
            <v>1.5430176204144612</v>
          </cell>
        </row>
        <row r="121">
          <cell r="R121">
            <v>24.935904000000001</v>
          </cell>
          <cell r="S121">
            <v>3.9470729704169498</v>
          </cell>
        </row>
        <row r="122">
          <cell r="R122">
            <v>30.326399999999996</v>
          </cell>
          <cell r="S122">
            <v>4.3798709993197384</v>
          </cell>
        </row>
        <row r="123">
          <cell r="R123">
            <v>12.454560000000003</v>
          </cell>
          <cell r="S123">
            <v>1.8214332763684027</v>
          </cell>
        </row>
        <row r="124">
          <cell r="R124">
            <v>2.4546239999999999</v>
          </cell>
          <cell r="S124">
            <v>0.14148698378988236</v>
          </cell>
        </row>
        <row r="125">
          <cell r="R125">
            <v>0.21962880000000001</v>
          </cell>
          <cell r="S125">
            <v>3.4848799588525159E-2</v>
          </cell>
        </row>
        <row r="126">
          <cell r="R126">
            <v>0.14999040000000002</v>
          </cell>
          <cell r="S126">
            <v>9.9404722005608001E-2</v>
          </cell>
        </row>
        <row r="127">
          <cell r="R127">
            <v>0.158112</v>
          </cell>
          <cell r="S127">
            <v>7.7371206716331228E-2</v>
          </cell>
        </row>
        <row r="128">
          <cell r="R128">
            <v>0.2330208</v>
          </cell>
          <cell r="S128">
            <v>8.4912528413333105E-2</v>
          </cell>
        </row>
        <row r="129">
          <cell r="R129">
            <v>0.73094400000000004</v>
          </cell>
          <cell r="S129">
            <v>0.19792344576993912</v>
          </cell>
        </row>
        <row r="130">
          <cell r="R130">
            <v>0.76870079999999996</v>
          </cell>
          <cell r="S130">
            <v>0.2955635214282159</v>
          </cell>
        </row>
        <row r="131">
          <cell r="R131">
            <v>3.8568959999999999</v>
          </cell>
          <cell r="S131">
            <v>0.74509392576861178</v>
          </cell>
        </row>
        <row r="132">
          <cell r="R132">
            <v>5.5641599999999993</v>
          </cell>
          <cell r="S132">
            <v>1.6730176204144613</v>
          </cell>
        </row>
        <row r="133">
          <cell r="R133">
            <v>17.570304</v>
          </cell>
          <cell r="S133">
            <v>3.9570729704169501</v>
          </cell>
        </row>
        <row r="134">
          <cell r="R134">
            <v>23.716799999999999</v>
          </cell>
          <cell r="S134">
            <v>1.4698709993197392</v>
          </cell>
        </row>
        <row r="135">
          <cell r="R135">
            <v>5.5442879999999999</v>
          </cell>
          <cell r="S135">
            <v>0.37343327636840273</v>
          </cell>
        </row>
        <row r="136">
          <cell r="R136">
            <v>1.441152</v>
          </cell>
          <cell r="S136">
            <v>0.12148698378988236</v>
          </cell>
        </row>
        <row r="137">
          <cell r="R137">
            <v>0.28391039999999995</v>
          </cell>
          <cell r="S137">
            <v>1.7848799588525161E-2</v>
          </cell>
        </row>
        <row r="138">
          <cell r="R138">
            <v>8.0351999999999993E-3</v>
          </cell>
          <cell r="S138">
            <v>1.6404722005608004E-2</v>
          </cell>
        </row>
        <row r="139">
          <cell r="R139">
            <v>0</v>
          </cell>
          <cell r="S139">
            <v>1.2371206716331237E-2</v>
          </cell>
        </row>
        <row r="140">
          <cell r="R140">
            <v>0.21695040000000002</v>
          </cell>
          <cell r="S140">
            <v>0.22691252841333312</v>
          </cell>
        </row>
        <row r="141">
          <cell r="R141">
            <v>1.7314560000000003</v>
          </cell>
          <cell r="S141">
            <v>0.29392344576993906</v>
          </cell>
        </row>
        <row r="142">
          <cell r="R142">
            <v>1.566864</v>
          </cell>
          <cell r="S142">
            <v>0.30156352142821591</v>
          </cell>
        </row>
        <row r="143">
          <cell r="R143">
            <v>7.5798719999999999</v>
          </cell>
          <cell r="S143">
            <v>2.1640939257686118</v>
          </cell>
        </row>
        <row r="144">
          <cell r="R144">
            <v>9.3864959999999993</v>
          </cell>
          <cell r="S144">
            <v>3.4130176204144616</v>
          </cell>
        </row>
        <row r="145">
          <cell r="R145">
            <v>15.320448000000001</v>
          </cell>
          <cell r="S145">
            <v>0.98507297041695008</v>
          </cell>
        </row>
        <row r="146">
          <cell r="R146">
            <v>5.5987200000000001</v>
          </cell>
          <cell r="S146">
            <v>0.27987099931973913</v>
          </cell>
        </row>
        <row r="147">
          <cell r="R147">
            <v>1.6954271999999999</v>
          </cell>
          <cell r="S147">
            <v>0.1484332763684027</v>
          </cell>
        </row>
        <row r="148">
          <cell r="R148">
            <v>5.7283200000000001</v>
          </cell>
          <cell r="S148">
            <v>0.26748698378988239</v>
          </cell>
        </row>
        <row r="149">
          <cell r="R149">
            <v>0.1044576</v>
          </cell>
          <cell r="S149">
            <v>1.5848799588525159E-2</v>
          </cell>
        </row>
        <row r="150">
          <cell r="R150">
            <v>2.6784000000000001E-3</v>
          </cell>
          <cell r="S150">
            <v>2.4047220056080038E-3</v>
          </cell>
        </row>
        <row r="151">
          <cell r="R151">
            <v>0.15292799999999998</v>
          </cell>
          <cell r="S151">
            <v>4.4371206716331241E-2</v>
          </cell>
        </row>
        <row r="152">
          <cell r="R152">
            <v>0.45800640000000004</v>
          </cell>
          <cell r="S152">
            <v>0.14691252841333313</v>
          </cell>
        </row>
        <row r="153">
          <cell r="R153">
            <v>0.57542400000000005</v>
          </cell>
          <cell r="S153">
            <v>0.25492344576993908</v>
          </cell>
        </row>
        <row r="154">
          <cell r="R154">
            <v>0.90529920000000008</v>
          </cell>
          <cell r="S154">
            <v>0.34456352142821589</v>
          </cell>
        </row>
        <row r="155">
          <cell r="R155">
            <v>7.2852480000000011</v>
          </cell>
          <cell r="S155">
            <v>2.7040939257686119</v>
          </cell>
        </row>
        <row r="156">
          <cell r="R156">
            <v>20.635776</v>
          </cell>
          <cell r="S156">
            <v>4.2930176204144619</v>
          </cell>
        </row>
        <row r="157">
          <cell r="R157">
            <v>12.0528</v>
          </cell>
          <cell r="S157">
            <v>3.0070729704169499</v>
          </cell>
        </row>
        <row r="158">
          <cell r="R158">
            <v>31.881599999999999</v>
          </cell>
          <cell r="S158">
            <v>3.4098709993197391</v>
          </cell>
        </row>
        <row r="159">
          <cell r="R159">
            <v>15.481152</v>
          </cell>
          <cell r="S159">
            <v>0.69443327636840269</v>
          </cell>
        </row>
        <row r="160">
          <cell r="R160">
            <v>4.7174399999999999</v>
          </cell>
          <cell r="S160">
            <v>0.22748698378988236</v>
          </cell>
        </row>
        <row r="161">
          <cell r="R161">
            <v>0.88119360000000013</v>
          </cell>
          <cell r="S161">
            <v>7.0848799588525163E-2</v>
          </cell>
        </row>
        <row r="162">
          <cell r="R162">
            <v>8.0351999999999993E-3</v>
          </cell>
          <cell r="S162">
            <v>1.1404722005608003E-2</v>
          </cell>
        </row>
        <row r="163">
          <cell r="R163">
            <v>0</v>
          </cell>
          <cell r="S163">
            <v>5.3712067163312373E-3</v>
          </cell>
        </row>
        <row r="164">
          <cell r="R164">
            <v>0.51425279999999995</v>
          </cell>
          <cell r="S164">
            <v>0.17691252841333313</v>
          </cell>
        </row>
        <row r="165">
          <cell r="R165">
            <v>1.083456</v>
          </cell>
          <cell r="S165">
            <v>0.40592344576993911</v>
          </cell>
        </row>
        <row r="166">
          <cell r="R166">
            <v>3.1605120000000002</v>
          </cell>
          <cell r="S166">
            <v>0.49456352142821591</v>
          </cell>
        </row>
        <row r="167">
          <cell r="R167">
            <v>1.9873727999999999</v>
          </cell>
          <cell r="S167">
            <v>0.29709392576861177</v>
          </cell>
        </row>
        <row r="168">
          <cell r="R168">
            <v>2.0671200000000001</v>
          </cell>
          <cell r="S168">
            <v>0.32001762041446136</v>
          </cell>
        </row>
        <row r="169">
          <cell r="R169">
            <v>13.204511999999999</v>
          </cell>
          <cell r="S169">
            <v>4.10707297041695</v>
          </cell>
        </row>
        <row r="170">
          <cell r="R170">
            <v>30.844799999999999</v>
          </cell>
          <cell r="S170">
            <v>3.1098709993197393</v>
          </cell>
        </row>
        <row r="171">
          <cell r="R171">
            <v>5.9996160000000005</v>
          </cell>
          <cell r="S171">
            <v>0.58843327636840281</v>
          </cell>
        </row>
        <row r="172">
          <cell r="R172">
            <v>8.5795200000000005</v>
          </cell>
          <cell r="S172">
            <v>0.89648698378988234</v>
          </cell>
        </row>
        <row r="173">
          <cell r="R173">
            <v>1.4757984000000002</v>
          </cell>
          <cell r="S173">
            <v>5.2848799588525161E-2</v>
          </cell>
        </row>
        <row r="174">
          <cell r="R174">
            <v>0</v>
          </cell>
          <cell r="S174">
            <v>1.8404722005608005E-2</v>
          </cell>
        </row>
        <row r="175">
          <cell r="R175">
            <v>0.25401600000000002</v>
          </cell>
          <cell r="S175">
            <v>5.4371206716331236E-2</v>
          </cell>
        </row>
        <row r="176">
          <cell r="R176">
            <v>1.218672</v>
          </cell>
          <cell r="S176">
            <v>0.13991252841333313</v>
          </cell>
        </row>
        <row r="177">
          <cell r="R177">
            <v>3.4732799999999999</v>
          </cell>
          <cell r="S177">
            <v>0.99492344576993907</v>
          </cell>
        </row>
        <row r="178">
          <cell r="R178">
            <v>11.865311999999999</v>
          </cell>
          <cell r="S178">
            <v>2.051563521428216</v>
          </cell>
        </row>
        <row r="179">
          <cell r="R179">
            <v>2.3623488000000004</v>
          </cell>
          <cell r="S179">
            <v>0.28309392576861175</v>
          </cell>
        </row>
        <row r="180">
          <cell r="R180">
            <v>2.8788480000000001</v>
          </cell>
          <cell r="S180">
            <v>0.69001762041446135</v>
          </cell>
        </row>
        <row r="181">
          <cell r="R181">
            <v>12.213503999999999</v>
          </cell>
          <cell r="S181">
            <v>1.5170729704169501</v>
          </cell>
        </row>
        <row r="182">
          <cell r="R182">
            <v>3.5769599999999997</v>
          </cell>
          <cell r="S182">
            <v>0.28687099931973914</v>
          </cell>
        </row>
        <row r="183">
          <cell r="R183">
            <v>1.6954271999999999</v>
          </cell>
          <cell r="S183">
            <v>0.1514332763684027</v>
          </cell>
        </row>
        <row r="184">
          <cell r="R184">
            <v>1.099008</v>
          </cell>
          <cell r="S184">
            <v>0.10748698378988236</v>
          </cell>
        </row>
        <row r="185">
          <cell r="R185">
            <v>5.3567999999999998E-2</v>
          </cell>
          <cell r="S185">
            <v>2.084879958852516E-2</v>
          </cell>
        </row>
        <row r="186">
          <cell r="R186">
            <v>1.8748800000000003E-2</v>
          </cell>
          <cell r="S186">
            <v>1.7404722005608005E-2</v>
          </cell>
        </row>
        <row r="187">
          <cell r="R187">
            <v>0</v>
          </cell>
          <cell r="S187">
            <v>2.5371206716331238E-2</v>
          </cell>
        </row>
        <row r="188">
          <cell r="R188">
            <v>0.71245440000000004</v>
          </cell>
          <cell r="S188">
            <v>6.8912528413333118E-2</v>
          </cell>
        </row>
        <row r="189">
          <cell r="R189">
            <v>6.1171199999999999</v>
          </cell>
          <cell r="S189">
            <v>0.5269234457699391</v>
          </cell>
        </row>
        <row r="190">
          <cell r="R190">
            <v>11.543903999999998</v>
          </cell>
          <cell r="S190">
            <v>2.091563521428216</v>
          </cell>
        </row>
        <row r="191">
          <cell r="R191">
            <v>4.4729279999999996</v>
          </cell>
          <cell r="S191">
            <v>0.71509392576861175</v>
          </cell>
        </row>
        <row r="192">
          <cell r="R192">
            <v>4.2094079999999998</v>
          </cell>
          <cell r="S192">
            <v>0.92101762041446134</v>
          </cell>
        </row>
        <row r="193">
          <cell r="R193">
            <v>20.730816000000001</v>
          </cell>
          <cell r="S193">
            <v>3.0770729704169502</v>
          </cell>
        </row>
        <row r="194">
          <cell r="R194">
            <v>22.783679999999997</v>
          </cell>
          <cell r="S194">
            <v>2.2498709993197394</v>
          </cell>
        </row>
        <row r="195">
          <cell r="R195">
            <v>8.4101759999999999</v>
          </cell>
          <cell r="S195">
            <v>0.53343327636840265</v>
          </cell>
        </row>
        <row r="196">
          <cell r="R196">
            <v>2.6956799999999999</v>
          </cell>
          <cell r="S196">
            <v>0.13048698378988238</v>
          </cell>
        </row>
        <row r="197">
          <cell r="R197">
            <v>0.30533760000000004</v>
          </cell>
          <cell r="S197">
            <v>2.7848799588525163E-2</v>
          </cell>
        </row>
        <row r="198">
          <cell r="R198">
            <v>0.1151712</v>
          </cell>
          <cell r="S198">
            <v>1.7404722005608005E-2</v>
          </cell>
        </row>
        <row r="199">
          <cell r="R199">
            <v>0</v>
          </cell>
          <cell r="S199">
            <v>1.8371206716331238E-2</v>
          </cell>
        </row>
        <row r="200">
          <cell r="R200">
            <v>0.65352959999999993</v>
          </cell>
          <cell r="S200">
            <v>0.20091252841333312</v>
          </cell>
        </row>
        <row r="201">
          <cell r="R201">
            <v>0.99532799999999999</v>
          </cell>
          <cell r="S201">
            <v>0.14092344576993912</v>
          </cell>
        </row>
        <row r="202">
          <cell r="R202">
            <v>3.1605120000000002</v>
          </cell>
          <cell r="S202">
            <v>0.37456352142821592</v>
          </cell>
        </row>
        <row r="203">
          <cell r="R203">
            <v>0.96958079999999991</v>
          </cell>
          <cell r="S203">
            <v>0.24509392576861178</v>
          </cell>
        </row>
        <row r="204">
          <cell r="R204">
            <v>1.7321471999999998</v>
          </cell>
          <cell r="S204">
            <v>0.66701762041446133</v>
          </cell>
        </row>
        <row r="205">
          <cell r="R205">
            <v>10.57968</v>
          </cell>
          <cell r="S205">
            <v>1.0710729704169502</v>
          </cell>
        </row>
        <row r="206">
          <cell r="R206">
            <v>8.5276800000000001</v>
          </cell>
          <cell r="S206">
            <v>1.249870999319739</v>
          </cell>
        </row>
        <row r="207">
          <cell r="R207">
            <v>4.6068480000000003</v>
          </cell>
          <cell r="S207">
            <v>0.57743327636840269</v>
          </cell>
        </row>
        <row r="208">
          <cell r="R208">
            <v>2.6956799999999999</v>
          </cell>
          <cell r="S208">
            <v>0.18348698378988237</v>
          </cell>
        </row>
        <row r="209">
          <cell r="R209">
            <v>0.16070400000000001</v>
          </cell>
          <cell r="S209">
            <v>2.084879958852516E-2</v>
          </cell>
        </row>
        <row r="210">
          <cell r="R210">
            <v>0</v>
          </cell>
          <cell r="S210">
            <v>8.4047220056080035E-3</v>
          </cell>
        </row>
        <row r="211">
          <cell r="R211">
            <v>0</v>
          </cell>
          <cell r="S211">
            <v>1.2371206716331237E-2</v>
          </cell>
        </row>
        <row r="212">
          <cell r="R212">
            <v>0.9722592000000001</v>
          </cell>
          <cell r="S212">
            <v>5.6912528413333115E-2</v>
          </cell>
        </row>
        <row r="213">
          <cell r="R213">
            <v>0.77500800000000003</v>
          </cell>
          <cell r="S213">
            <v>8.7923445769939101E-2</v>
          </cell>
        </row>
        <row r="214">
          <cell r="R214">
            <v>0.81155520000000003</v>
          </cell>
          <cell r="S214">
            <v>0.32056352142821587</v>
          </cell>
        </row>
        <row r="215">
          <cell r="R215">
            <v>0.61603200000000002</v>
          </cell>
          <cell r="S215">
            <v>0.22309392576861176</v>
          </cell>
        </row>
        <row r="216">
          <cell r="R216">
            <v>1.1901600000000001</v>
          </cell>
          <cell r="S216">
            <v>0.21401762041446137</v>
          </cell>
        </row>
        <row r="217">
          <cell r="R217">
            <v>8.6780159999999995</v>
          </cell>
          <cell r="S217">
            <v>3.7670729704169501</v>
          </cell>
        </row>
        <row r="218">
          <cell r="R218">
            <v>55.987200000000009</v>
          </cell>
          <cell r="S218">
            <v>5.7798709993197388</v>
          </cell>
        </row>
        <row r="219">
          <cell r="R219">
            <v>10.258272</v>
          </cell>
          <cell r="S219">
            <v>0.24343327636840273</v>
          </cell>
        </row>
        <row r="220">
          <cell r="R220">
            <v>3.83616</v>
          </cell>
          <cell r="S220">
            <v>0.12448698378988236</v>
          </cell>
        </row>
        <row r="221">
          <cell r="R221">
            <v>4.1515199999999997</v>
          </cell>
          <cell r="S221">
            <v>7.6848799588525155E-2</v>
          </cell>
        </row>
        <row r="222">
          <cell r="R222">
            <v>0</v>
          </cell>
          <cell r="S222">
            <v>1.6404722005608004E-2</v>
          </cell>
        </row>
        <row r="223">
          <cell r="R223">
            <v>1.0368E-2</v>
          </cell>
          <cell r="S223">
            <v>1.5371206716331236E-2</v>
          </cell>
        </row>
        <row r="224">
          <cell r="R224">
            <v>0.53300160000000008</v>
          </cell>
          <cell r="S224">
            <v>9.2912528413333112E-2</v>
          </cell>
        </row>
        <row r="225">
          <cell r="R225">
            <v>1.71072</v>
          </cell>
          <cell r="S225">
            <v>0.15592344576993911</v>
          </cell>
        </row>
        <row r="226">
          <cell r="R226">
            <v>2.6301888000000004</v>
          </cell>
          <cell r="S226">
            <v>0.40256352142821594</v>
          </cell>
        </row>
        <row r="227">
          <cell r="R227">
            <v>2.1293280000000001</v>
          </cell>
          <cell r="S227">
            <v>0.22509392576861176</v>
          </cell>
        </row>
        <row r="228">
          <cell r="R228">
            <v>2.1917952000000001</v>
          </cell>
          <cell r="S228">
            <v>0.57301762041446136</v>
          </cell>
        </row>
        <row r="229">
          <cell r="R229">
            <v>18.668448000000001</v>
          </cell>
          <cell r="S229">
            <v>4.7770729704169499</v>
          </cell>
        </row>
        <row r="230">
          <cell r="R230">
            <v>27.216000000000001</v>
          </cell>
          <cell r="S230">
            <v>1.9498709993197392</v>
          </cell>
        </row>
        <row r="231">
          <cell r="R231">
            <v>18.105983999999999</v>
          </cell>
          <cell r="S231">
            <v>2.2314332763684028</v>
          </cell>
        </row>
        <row r="232">
          <cell r="R232">
            <v>3.6547200000000002</v>
          </cell>
          <cell r="S232">
            <v>0.15848698378988235</v>
          </cell>
        </row>
        <row r="233">
          <cell r="R233">
            <v>0.38301119999999994</v>
          </cell>
          <cell r="S233">
            <v>7.3848799588525152E-2</v>
          </cell>
        </row>
        <row r="234">
          <cell r="R234">
            <v>2.14272E-2</v>
          </cell>
          <cell r="S234">
            <v>6.4404722005607998E-2</v>
          </cell>
        </row>
        <row r="235">
          <cell r="R235">
            <v>0</v>
          </cell>
          <cell r="S235">
            <v>1.0371206716331238E-2</v>
          </cell>
        </row>
        <row r="236">
          <cell r="R236">
            <v>9.6422399999999991E-2</v>
          </cell>
          <cell r="S236">
            <v>2.091252841333311E-2</v>
          </cell>
        </row>
        <row r="237">
          <cell r="R237">
            <v>0.83203199999999999</v>
          </cell>
          <cell r="S237">
            <v>0.13692344576993912</v>
          </cell>
        </row>
        <row r="238">
          <cell r="R238">
            <v>2.6221535999999994</v>
          </cell>
          <cell r="S238">
            <v>0.26956352142821594</v>
          </cell>
        </row>
        <row r="239">
          <cell r="R239">
            <v>2.8391039999999998</v>
          </cell>
          <cell r="S239">
            <v>0.63009392576861178</v>
          </cell>
        </row>
        <row r="240">
          <cell r="R240">
            <v>1.8724608000000003</v>
          </cell>
          <cell r="S240">
            <v>0.55001762041446134</v>
          </cell>
        </row>
        <row r="241">
          <cell r="R241">
            <v>9.0797760000000007</v>
          </cell>
          <cell r="S241">
            <v>0.91707297041695013</v>
          </cell>
        </row>
        <row r="242">
          <cell r="R242">
            <v>6.4281600000000001</v>
          </cell>
          <cell r="S242">
            <v>0.35887099931973915</v>
          </cell>
        </row>
        <row r="243">
          <cell r="R243">
            <v>7.0441919999999998</v>
          </cell>
          <cell r="S243">
            <v>1.1614332763684028</v>
          </cell>
        </row>
        <row r="244">
          <cell r="R244">
            <v>0.40694399999999997</v>
          </cell>
          <cell r="S244">
            <v>3.6486983789882362E-2</v>
          </cell>
        </row>
        <row r="245">
          <cell r="R245">
            <v>5.6246400000000002E-2</v>
          </cell>
          <cell r="S245">
            <v>7.848799588525161E-3</v>
          </cell>
        </row>
        <row r="246">
          <cell r="R246">
            <v>2.9462399999999996E-2</v>
          </cell>
          <cell r="S246">
            <v>5.4047220056080043E-3</v>
          </cell>
        </row>
        <row r="247">
          <cell r="R247">
            <v>1.2959999999999999E-2</v>
          </cell>
          <cell r="S247">
            <v>5.3712067163312373E-3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284">
          <cell r="R284">
            <v>0.13</v>
          </cell>
          <cell r="S284">
            <v>1.0061800972115631</v>
          </cell>
        </row>
        <row r="285">
          <cell r="R285">
            <v>0.35499999999999998</v>
          </cell>
          <cell r="S285">
            <v>0.98471731900741888</v>
          </cell>
        </row>
        <row r="286">
          <cell r="R286">
            <v>2.1520000000000001</v>
          </cell>
          <cell r="S286">
            <v>1.5725070350473265</v>
          </cell>
        </row>
        <row r="287">
          <cell r="R287">
            <v>2.0089999999999999</v>
          </cell>
          <cell r="S287">
            <v>1.2704773599386032</v>
          </cell>
        </row>
        <row r="288">
          <cell r="R288">
            <v>3.3660000000000001</v>
          </cell>
        </row>
        <row r="289">
          <cell r="R289">
            <v>1.9119999999999999</v>
          </cell>
          <cell r="S289">
            <v>1.9494699411614222</v>
          </cell>
        </row>
        <row r="290">
          <cell r="R290">
            <v>2.7229999999999999</v>
          </cell>
          <cell r="S290">
            <v>1.1285842926579688</v>
          </cell>
        </row>
        <row r="291">
          <cell r="R291">
            <v>2.4159999999999999</v>
          </cell>
          <cell r="S291">
            <v>1.8934704528012278</v>
          </cell>
        </row>
        <row r="292">
          <cell r="R292">
            <v>1.5629999999999999</v>
          </cell>
          <cell r="S292">
            <v>1.0606697365055002</v>
          </cell>
        </row>
        <row r="293">
          <cell r="R293">
            <v>0.26200000000000001</v>
          </cell>
        </row>
        <row r="294">
          <cell r="R294">
            <v>0.153</v>
          </cell>
          <cell r="S294">
            <v>0.21903658224609876</v>
          </cell>
        </row>
        <row r="295">
          <cell r="R295">
            <v>8.5999999999999993E-2</v>
          </cell>
          <cell r="S295">
            <v>0.29066973650550015</v>
          </cell>
        </row>
        <row r="296">
          <cell r="R296">
            <v>0.16400000000000001</v>
          </cell>
          <cell r="S296">
            <v>0.90618009721156312</v>
          </cell>
        </row>
        <row r="297">
          <cell r="R297">
            <v>0.23499999999999999</v>
          </cell>
          <cell r="S297">
            <v>0.7747173190074188</v>
          </cell>
        </row>
        <row r="298">
          <cell r="R298">
            <v>2.1520000000000001</v>
          </cell>
          <cell r="S298">
            <v>1.5725070350473265</v>
          </cell>
        </row>
        <row r="299">
          <cell r="R299">
            <v>2.0089999999999999</v>
          </cell>
          <cell r="S299">
            <v>1.2704773599386032</v>
          </cell>
        </row>
        <row r="300">
          <cell r="R300">
            <v>3.3660000000000001</v>
          </cell>
        </row>
        <row r="301">
          <cell r="R301">
            <v>3.4670000000000001</v>
          </cell>
          <cell r="S301">
            <v>2.4294699411614222</v>
          </cell>
        </row>
        <row r="302">
          <cell r="R302">
            <v>2.7229999999999999</v>
          </cell>
          <cell r="S302">
            <v>1.1285842926579688</v>
          </cell>
        </row>
        <row r="303">
          <cell r="R303">
            <v>2.4159999999999999</v>
          </cell>
          <cell r="S303">
            <v>1.8934704528012278</v>
          </cell>
        </row>
        <row r="304">
          <cell r="R304">
            <v>0.378</v>
          </cell>
        </row>
        <row r="305">
          <cell r="R305">
            <v>0.245</v>
          </cell>
          <cell r="S305">
            <v>0.13656485034535687</v>
          </cell>
        </row>
        <row r="306">
          <cell r="R306">
            <v>0.26200000000000001</v>
          </cell>
          <cell r="S306">
            <v>0.75903658224609871</v>
          </cell>
        </row>
        <row r="307">
          <cell r="R307">
            <v>7.2999999999999995E-2</v>
          </cell>
        </row>
        <row r="308">
          <cell r="R308">
            <v>5.2999999999999999E-2</v>
          </cell>
        </row>
        <row r="309">
          <cell r="R309">
            <v>6.5000000000000002E-2</v>
          </cell>
          <cell r="S309">
            <v>0.74471731900741878</v>
          </cell>
        </row>
        <row r="310">
          <cell r="R310">
            <v>0.08</v>
          </cell>
        </row>
        <row r="311">
          <cell r="R311">
            <v>0.13300000000000001</v>
          </cell>
          <cell r="S311">
            <v>0.54047735993860324</v>
          </cell>
        </row>
        <row r="312">
          <cell r="R312">
            <v>0.32200000000000001</v>
          </cell>
          <cell r="S312">
            <v>0.64365259657201335</v>
          </cell>
        </row>
        <row r="313">
          <cell r="R313">
            <v>2.15</v>
          </cell>
        </row>
        <row r="314">
          <cell r="R314">
            <v>3.37</v>
          </cell>
          <cell r="S314">
            <v>0.79858429265796882</v>
          </cell>
        </row>
        <row r="315">
          <cell r="R315">
            <v>1.3129999999999999</v>
          </cell>
          <cell r="S315">
            <v>0.24347045280122798</v>
          </cell>
        </row>
        <row r="316">
          <cell r="R316">
            <v>0.45600000000000002</v>
          </cell>
          <cell r="S316">
            <v>0.26066973650550013</v>
          </cell>
        </row>
        <row r="317">
          <cell r="R317">
            <v>0.155</v>
          </cell>
          <cell r="S317">
            <v>3.6564850345356864E-2</v>
          </cell>
        </row>
        <row r="318">
          <cell r="R318">
            <v>6.3E-2</v>
          </cell>
          <cell r="S318">
            <v>0.21903658224609876</v>
          </cell>
        </row>
        <row r="319">
          <cell r="R319">
            <v>5.0999999999999997E-2</v>
          </cell>
          <cell r="S319">
            <v>0.29066973650550015</v>
          </cell>
        </row>
        <row r="320">
          <cell r="R320">
            <v>5.2999999999999999E-2</v>
          </cell>
          <cell r="S320">
            <v>0.58618009721156306</v>
          </cell>
        </row>
        <row r="321">
          <cell r="R321">
            <v>7.4999999999999997E-2</v>
          </cell>
          <cell r="S321">
            <v>0.63471731900741879</v>
          </cell>
        </row>
        <row r="322">
          <cell r="R322">
            <v>5.3999999999999999E-2</v>
          </cell>
        </row>
        <row r="323">
          <cell r="R323">
            <v>4.5999999999999999E-2</v>
          </cell>
        </row>
        <row r="324">
          <cell r="R324">
            <v>5.0999999999999997E-2</v>
          </cell>
          <cell r="S324">
            <v>0.99365259657201321</v>
          </cell>
        </row>
        <row r="325">
          <cell r="R325">
            <v>6.3E-2</v>
          </cell>
          <cell r="S325">
            <v>0.87946994116142219</v>
          </cell>
        </row>
        <row r="326">
          <cell r="R326">
            <v>8.6999999999999994E-2</v>
          </cell>
          <cell r="S326">
            <v>0.58858429265796874</v>
          </cell>
        </row>
        <row r="327">
          <cell r="R327">
            <v>0.41</v>
          </cell>
        </row>
        <row r="328">
          <cell r="R328">
            <v>0.1</v>
          </cell>
          <cell r="S328">
            <v>0.15066973650550014</v>
          </cell>
        </row>
        <row r="329">
          <cell r="R329">
            <v>8.8999999999999996E-2</v>
          </cell>
          <cell r="S329">
            <v>0.12656485034535686</v>
          </cell>
        </row>
        <row r="330">
          <cell r="R330">
            <v>8.1000000000000003E-2</v>
          </cell>
          <cell r="S330">
            <v>0.12903658224609876</v>
          </cell>
        </row>
        <row r="331">
          <cell r="R331">
            <v>5.6000000000000001E-2</v>
          </cell>
          <cell r="S331">
            <v>0.41066973650550015</v>
          </cell>
        </row>
        <row r="332">
          <cell r="R332">
            <v>6.0999999999999999E-2</v>
          </cell>
          <cell r="S332">
            <v>0.18618009721156306</v>
          </cell>
        </row>
        <row r="333">
          <cell r="R333">
            <v>2.5999999999999999E-2</v>
          </cell>
          <cell r="S333">
            <v>0.41471731900741882</v>
          </cell>
        </row>
        <row r="334">
          <cell r="R334">
            <v>0.20799999999999999</v>
          </cell>
        </row>
        <row r="335">
          <cell r="R335">
            <v>1.6719999999999999</v>
          </cell>
          <cell r="S335">
            <v>1.0604773599386033</v>
          </cell>
        </row>
        <row r="336">
          <cell r="R336">
            <v>1.3320000000000001</v>
          </cell>
        </row>
        <row r="337">
          <cell r="R337">
            <v>1.3859999999999999</v>
          </cell>
          <cell r="S337">
            <v>1.6594699411614222</v>
          </cell>
        </row>
        <row r="338">
          <cell r="R338">
            <v>3.0960000000000001</v>
          </cell>
        </row>
        <row r="339">
          <cell r="R339">
            <v>1.67</v>
          </cell>
          <cell r="S339">
            <v>0.5934704528012279</v>
          </cell>
        </row>
        <row r="340">
          <cell r="R340">
            <v>0.38900000000000001</v>
          </cell>
          <cell r="S340">
            <v>0.34066973650550014</v>
          </cell>
        </row>
        <row r="341">
          <cell r="R341">
            <v>0.216</v>
          </cell>
          <cell r="S341">
            <v>0.30656485034535691</v>
          </cell>
        </row>
        <row r="342">
          <cell r="R342">
            <v>0.1</v>
          </cell>
          <cell r="S342">
            <v>0.19903658224609874</v>
          </cell>
        </row>
        <row r="343">
          <cell r="R343">
            <v>0.11600000000000001</v>
          </cell>
          <cell r="S343">
            <v>0.88066973650550007</v>
          </cell>
        </row>
      </sheetData>
      <sheetData sheetId="20" refreshError="1"/>
      <sheetData sheetId="21" refreshError="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4">
          <cell r="C4">
            <v>0.35087039999999997</v>
          </cell>
          <cell r="D4">
            <v>0.67910400000000004</v>
          </cell>
          <cell r="E4">
            <v>1.767744</v>
          </cell>
          <cell r="F4">
            <v>1.1436767999999997</v>
          </cell>
          <cell r="G4">
            <v>1.8652032000000003</v>
          </cell>
          <cell r="H4">
            <v>31.337279999999996</v>
          </cell>
          <cell r="I4">
            <v>5.5209599999999996</v>
          </cell>
          <cell r="J4">
            <v>8.9190719999999999</v>
          </cell>
          <cell r="K4">
            <v>1.9958400000000001</v>
          </cell>
          <cell r="L4">
            <v>6.6960000000000006E-2</v>
          </cell>
          <cell r="M4">
            <v>0</v>
          </cell>
          <cell r="N4">
            <v>0.20735999999999999</v>
          </cell>
        </row>
        <row r="5">
          <cell r="C5">
            <v>0.51693120000000004</v>
          </cell>
          <cell r="D5">
            <v>0.80092799999999997</v>
          </cell>
          <cell r="E5">
            <v>1.5240095999999999</v>
          </cell>
          <cell r="F5">
            <v>1.8668447999999997</v>
          </cell>
          <cell r="G5">
            <v>2.2595328000000001</v>
          </cell>
          <cell r="H5">
            <v>36.1584</v>
          </cell>
          <cell r="I5">
            <v>31.881599999999999</v>
          </cell>
          <cell r="J5">
            <v>38.836799999999997</v>
          </cell>
          <cell r="K5">
            <v>7.3872</v>
          </cell>
          <cell r="L5">
            <v>0.74191680000000004</v>
          </cell>
          <cell r="M5">
            <v>0.39908159999999998</v>
          </cell>
          <cell r="N5">
            <v>1.0160640000000001</v>
          </cell>
        </row>
        <row r="6">
          <cell r="C6">
            <v>0.85976640000000004</v>
          </cell>
          <cell r="D6">
            <v>1.5551999999999999</v>
          </cell>
          <cell r="E6">
            <v>2.3971680000000002</v>
          </cell>
          <cell r="F6">
            <v>2.1909311999999996</v>
          </cell>
          <cell r="G6">
            <v>2.2375007999999998</v>
          </cell>
          <cell r="H6">
            <v>12.534912</v>
          </cell>
          <cell r="I6">
            <v>14.748480000000002</v>
          </cell>
          <cell r="J6">
            <v>4.713984</v>
          </cell>
          <cell r="K6">
            <v>2.182464</v>
          </cell>
          <cell r="L6">
            <v>0.29730239999999997</v>
          </cell>
          <cell r="M6">
            <v>0</v>
          </cell>
          <cell r="N6">
            <v>0</v>
          </cell>
        </row>
        <row r="7">
          <cell r="C7">
            <v>0.84637439999999997</v>
          </cell>
          <cell r="D7">
            <v>1.863648</v>
          </cell>
          <cell r="E7">
            <v>10.365408</v>
          </cell>
          <cell r="F7">
            <v>3.294432</v>
          </cell>
          <cell r="G7">
            <v>11.636351999999999</v>
          </cell>
          <cell r="H7">
            <v>12.240288</v>
          </cell>
          <cell r="I7">
            <v>12.33792</v>
          </cell>
          <cell r="J7">
            <v>5.5978560000000002</v>
          </cell>
          <cell r="K7">
            <v>1.1819519999999999</v>
          </cell>
          <cell r="L7">
            <v>0.16606080000000001</v>
          </cell>
          <cell r="M7">
            <v>0</v>
          </cell>
          <cell r="N7">
            <v>0.12700800000000001</v>
          </cell>
        </row>
        <row r="8">
          <cell r="C8">
            <v>0.59460479999999993</v>
          </cell>
          <cell r="D8">
            <v>0.91756800000000005</v>
          </cell>
          <cell r="E8">
            <v>1.0445759999999999</v>
          </cell>
          <cell r="F8">
            <v>2.3810975999999999</v>
          </cell>
          <cell r="G8">
            <v>21.555071999999999</v>
          </cell>
          <cell r="H8">
            <v>23.382432000000001</v>
          </cell>
          <cell r="I8">
            <v>27.216000000000001</v>
          </cell>
          <cell r="J8">
            <v>10.552896</v>
          </cell>
          <cell r="K8">
            <v>3.0585599999999999</v>
          </cell>
          <cell r="L8">
            <v>0.34551360000000003</v>
          </cell>
          <cell r="M8">
            <v>0</v>
          </cell>
          <cell r="N8">
            <v>6.7391999999999994E-2</v>
          </cell>
        </row>
        <row r="9">
          <cell r="C9">
            <v>1.2695615999999998</v>
          </cell>
          <cell r="D9">
            <v>1.3115520000000001</v>
          </cell>
          <cell r="E9">
            <v>9.4279679999999999</v>
          </cell>
          <cell r="F9">
            <v>15.159744</v>
          </cell>
          <cell r="G9">
            <v>21.748608000000001</v>
          </cell>
          <cell r="H9">
            <v>17.141760000000001</v>
          </cell>
          <cell r="I9">
            <v>9.61632</v>
          </cell>
          <cell r="J9">
            <v>4.1783039999999998</v>
          </cell>
          <cell r="K9">
            <v>1.3193280000000001</v>
          </cell>
          <cell r="L9">
            <v>0.31605119999999998</v>
          </cell>
          <cell r="M9">
            <v>0.2089152</v>
          </cell>
          <cell r="N9">
            <v>2.5920000000000001E-3</v>
          </cell>
        </row>
        <row r="10">
          <cell r="C10">
            <v>5.3567999999999998</v>
          </cell>
          <cell r="D10">
            <v>2.8512000000000004</v>
          </cell>
          <cell r="E10">
            <v>6.240672</v>
          </cell>
          <cell r="F10">
            <v>3.4283519999999998</v>
          </cell>
          <cell r="G10">
            <v>3.6331199999999999</v>
          </cell>
          <cell r="H10">
            <v>21.052223999999999</v>
          </cell>
          <cell r="I10">
            <v>23.794560000000001</v>
          </cell>
          <cell r="J10">
            <v>16.659648000000001</v>
          </cell>
          <cell r="K10">
            <v>3.1103999999999998</v>
          </cell>
          <cell r="L10">
            <v>0.58121279999999997</v>
          </cell>
          <cell r="M10">
            <v>4.0176000000000003E-2</v>
          </cell>
          <cell r="N10">
            <v>0</v>
          </cell>
        </row>
        <row r="11">
          <cell r="C11">
            <v>1.2293855999999999</v>
          </cell>
          <cell r="D11">
            <v>1.848096</v>
          </cell>
          <cell r="E11">
            <v>2.5578720000000001</v>
          </cell>
          <cell r="F11">
            <v>6.3210240000000004</v>
          </cell>
          <cell r="G11">
            <v>10.088063999999999</v>
          </cell>
          <cell r="H11">
            <v>45.264959999999995</v>
          </cell>
          <cell r="I11">
            <v>26.956800000000001</v>
          </cell>
          <cell r="J11">
            <v>13.552703999999999</v>
          </cell>
          <cell r="K11">
            <v>2.7475200000000002</v>
          </cell>
          <cell r="L11">
            <v>1.8561311999999999</v>
          </cell>
          <cell r="M11">
            <v>0</v>
          </cell>
          <cell r="N11">
            <v>7.5167999999999999E-2</v>
          </cell>
        </row>
        <row r="12">
          <cell r="C12">
            <v>0.46871999999999991</v>
          </cell>
          <cell r="D12">
            <v>1.702944</v>
          </cell>
          <cell r="E12">
            <v>48.746879999999997</v>
          </cell>
          <cell r="F12">
            <v>13.874112</v>
          </cell>
          <cell r="G12">
            <v>4.5722880000000004</v>
          </cell>
          <cell r="H12">
            <v>11.892096000000002</v>
          </cell>
          <cell r="I12">
            <v>25.271999999999998</v>
          </cell>
          <cell r="J12">
            <v>11.436767999999999</v>
          </cell>
          <cell r="K12">
            <v>5.4691200000000002</v>
          </cell>
          <cell r="L12">
            <v>1.7302464000000002</v>
          </cell>
          <cell r="M12">
            <v>3.455136</v>
          </cell>
          <cell r="N12">
            <v>0.78537599999999996</v>
          </cell>
        </row>
        <row r="13">
          <cell r="C13">
            <v>1.5266879999999998</v>
          </cell>
          <cell r="D13">
            <v>0.95644799999999996</v>
          </cell>
          <cell r="E13">
            <v>0.94547519999999996</v>
          </cell>
          <cell r="F13">
            <v>2.0436191999999997</v>
          </cell>
          <cell r="G13">
            <v>3.2417280000000002</v>
          </cell>
          <cell r="H13">
            <v>12.829535999999999</v>
          </cell>
          <cell r="I13">
            <v>19.025279999999999</v>
          </cell>
          <cell r="J13">
            <v>4.0711680000000001</v>
          </cell>
          <cell r="K13">
            <v>4.4323199999999998</v>
          </cell>
          <cell r="L13">
            <v>3.6961919999999995</v>
          </cell>
          <cell r="M13">
            <v>1.7114976</v>
          </cell>
          <cell r="N13">
            <v>0.44064000000000003</v>
          </cell>
        </row>
        <row r="14">
          <cell r="C14">
            <v>0.73388160000000013</v>
          </cell>
          <cell r="D14">
            <v>2.7993600000000001</v>
          </cell>
          <cell r="E14">
            <v>4.1247360000000004</v>
          </cell>
          <cell r="F14">
            <v>2.3328864</v>
          </cell>
          <cell r="G14">
            <v>3.7333440000000002</v>
          </cell>
          <cell r="H14">
            <v>24.935904000000001</v>
          </cell>
          <cell r="I14">
            <v>30.326399999999996</v>
          </cell>
          <cell r="J14">
            <v>12.454560000000003</v>
          </cell>
          <cell r="K14">
            <v>2.4546239999999999</v>
          </cell>
          <cell r="L14">
            <v>0.21962880000000001</v>
          </cell>
          <cell r="M14">
            <v>0.14999040000000002</v>
          </cell>
          <cell r="N14">
            <v>0.158112</v>
          </cell>
        </row>
        <row r="15">
          <cell r="C15">
            <v>0.2330208</v>
          </cell>
          <cell r="D15">
            <v>0.73094400000000004</v>
          </cell>
          <cell r="E15">
            <v>0.76870079999999996</v>
          </cell>
          <cell r="F15">
            <v>3.8568959999999999</v>
          </cell>
          <cell r="G15">
            <v>5.5641599999999993</v>
          </cell>
          <cell r="H15">
            <v>17.570304</v>
          </cell>
          <cell r="I15">
            <v>23.716799999999999</v>
          </cell>
          <cell r="J15">
            <v>5.5442879999999999</v>
          </cell>
          <cell r="K15">
            <v>1.441152</v>
          </cell>
          <cell r="L15">
            <v>0.28391039999999995</v>
          </cell>
          <cell r="M15">
            <v>8.0351999999999993E-3</v>
          </cell>
          <cell r="N15">
            <v>0</v>
          </cell>
        </row>
        <row r="16">
          <cell r="C16">
            <v>0.21695040000000002</v>
          </cell>
          <cell r="D16">
            <v>1.7314560000000003</v>
          </cell>
          <cell r="E16">
            <v>1.566864</v>
          </cell>
          <cell r="F16">
            <v>7.5798719999999999</v>
          </cell>
          <cell r="G16">
            <v>9.3864959999999993</v>
          </cell>
          <cell r="H16">
            <v>15.320448000000001</v>
          </cell>
          <cell r="I16">
            <v>5.5987200000000001</v>
          </cell>
          <cell r="J16">
            <v>1.6954271999999999</v>
          </cell>
          <cell r="K16">
            <v>5.7283200000000001</v>
          </cell>
          <cell r="L16">
            <v>0.1044576</v>
          </cell>
          <cell r="M16">
            <v>2.6784000000000001E-3</v>
          </cell>
          <cell r="N16">
            <v>0.15292799999999998</v>
          </cell>
        </row>
        <row r="17">
          <cell r="C17">
            <v>0.45800640000000004</v>
          </cell>
          <cell r="D17">
            <v>0.57542400000000005</v>
          </cell>
          <cell r="E17">
            <v>0.90529920000000008</v>
          </cell>
          <cell r="F17">
            <v>7.2852480000000011</v>
          </cell>
          <cell r="G17">
            <v>20.635776</v>
          </cell>
          <cell r="H17">
            <v>12.0528</v>
          </cell>
          <cell r="I17">
            <v>31.881599999999999</v>
          </cell>
          <cell r="J17">
            <v>15.481152</v>
          </cell>
          <cell r="K17">
            <v>4.7174399999999999</v>
          </cell>
          <cell r="L17">
            <v>0.88119360000000013</v>
          </cell>
          <cell r="M17">
            <v>8.0351999999999993E-3</v>
          </cell>
          <cell r="N17">
            <v>0</v>
          </cell>
        </row>
        <row r="18">
          <cell r="C18">
            <v>0.51425279999999995</v>
          </cell>
          <cell r="D18">
            <v>1.083456</v>
          </cell>
          <cell r="E18">
            <v>3.1605120000000002</v>
          </cell>
          <cell r="F18">
            <v>1.9873727999999999</v>
          </cell>
          <cell r="G18">
            <v>2.0671200000000001</v>
          </cell>
          <cell r="H18">
            <v>13.204511999999999</v>
          </cell>
          <cell r="I18">
            <v>30.844799999999999</v>
          </cell>
          <cell r="J18">
            <v>5.9996160000000005</v>
          </cell>
          <cell r="K18">
            <v>8.5795200000000005</v>
          </cell>
          <cell r="L18">
            <v>1.4757984000000002</v>
          </cell>
          <cell r="M18">
            <v>0</v>
          </cell>
          <cell r="N18">
            <v>0.25401600000000002</v>
          </cell>
        </row>
        <row r="19">
          <cell r="C19">
            <v>1.218672</v>
          </cell>
          <cell r="D19">
            <v>3.4732799999999999</v>
          </cell>
          <cell r="E19">
            <v>11.865311999999999</v>
          </cell>
          <cell r="F19">
            <v>2.3623488000000004</v>
          </cell>
          <cell r="G19">
            <v>2.8788480000000001</v>
          </cell>
          <cell r="H19">
            <v>12.213503999999999</v>
          </cell>
          <cell r="I19">
            <v>3.5769599999999997</v>
          </cell>
          <cell r="J19">
            <v>1.6954271999999999</v>
          </cell>
          <cell r="K19">
            <v>1.099008</v>
          </cell>
          <cell r="L19">
            <v>5.3567999999999998E-2</v>
          </cell>
          <cell r="M19">
            <v>1.8748800000000003E-2</v>
          </cell>
          <cell r="N19">
            <v>0</v>
          </cell>
        </row>
        <row r="20">
          <cell r="C20">
            <v>0.71245440000000004</v>
          </cell>
          <cell r="D20">
            <v>6.1171199999999999</v>
          </cell>
          <cell r="E20">
            <v>11.543903999999998</v>
          </cell>
          <cell r="F20">
            <v>4.4729279999999996</v>
          </cell>
          <cell r="G20">
            <v>4.2094079999999998</v>
          </cell>
          <cell r="H20">
            <v>20.730816000000001</v>
          </cell>
          <cell r="I20">
            <v>22.783679999999997</v>
          </cell>
          <cell r="J20">
            <v>8.4101759999999999</v>
          </cell>
          <cell r="K20">
            <v>2.6956799999999999</v>
          </cell>
          <cell r="L20">
            <v>0.30533760000000004</v>
          </cell>
          <cell r="M20">
            <v>0.1151712</v>
          </cell>
          <cell r="N20">
            <v>0</v>
          </cell>
        </row>
        <row r="21">
          <cell r="C21">
            <v>0.65352959999999993</v>
          </cell>
          <cell r="D21">
            <v>0.99532799999999999</v>
          </cell>
          <cell r="E21">
            <v>3.1605120000000002</v>
          </cell>
          <cell r="F21">
            <v>0.96958079999999991</v>
          </cell>
          <cell r="G21">
            <v>1.7321471999999998</v>
          </cell>
          <cell r="H21">
            <v>10.57968</v>
          </cell>
          <cell r="I21">
            <v>8.5276800000000001</v>
          </cell>
          <cell r="J21">
            <v>4.6068480000000003</v>
          </cell>
          <cell r="K21">
            <v>2.6956799999999999</v>
          </cell>
          <cell r="L21">
            <v>0.16070400000000001</v>
          </cell>
          <cell r="M21">
            <v>0</v>
          </cell>
          <cell r="N21">
            <v>0</v>
          </cell>
        </row>
        <row r="22">
          <cell r="C22">
            <v>0.9722592000000001</v>
          </cell>
          <cell r="D22">
            <v>0.77500800000000003</v>
          </cell>
          <cell r="E22">
            <v>0.81155520000000003</v>
          </cell>
          <cell r="F22">
            <v>0.61603200000000002</v>
          </cell>
          <cell r="G22">
            <v>1.1901600000000001</v>
          </cell>
          <cell r="H22">
            <v>8.6780159999999995</v>
          </cell>
          <cell r="I22">
            <v>55.987200000000009</v>
          </cell>
          <cell r="J22">
            <v>10.258272</v>
          </cell>
          <cell r="K22">
            <v>3.83616</v>
          </cell>
          <cell r="L22">
            <v>4.1515199999999997</v>
          </cell>
          <cell r="M22">
            <v>0</v>
          </cell>
          <cell r="N22">
            <v>1.0368E-2</v>
          </cell>
        </row>
        <row r="23">
          <cell r="C23">
            <v>0.53300160000000008</v>
          </cell>
          <cell r="D23">
            <v>1.71072</v>
          </cell>
          <cell r="E23">
            <v>2.6301888000000004</v>
          </cell>
          <cell r="F23">
            <v>2.1293280000000001</v>
          </cell>
          <cell r="G23">
            <v>2.1917952000000001</v>
          </cell>
          <cell r="H23">
            <v>18.668448000000001</v>
          </cell>
          <cell r="I23">
            <v>27.216000000000001</v>
          </cell>
          <cell r="J23">
            <v>18.105983999999999</v>
          </cell>
          <cell r="K23">
            <v>3.6547200000000002</v>
          </cell>
          <cell r="L23">
            <v>0.38301119999999994</v>
          </cell>
          <cell r="M23">
            <v>2.14272E-2</v>
          </cell>
          <cell r="N23">
            <v>0</v>
          </cell>
        </row>
        <row r="24">
          <cell r="C24">
            <v>9.6422399999999991E-2</v>
          </cell>
          <cell r="D24">
            <v>0.83203199999999999</v>
          </cell>
          <cell r="E24">
            <v>2.6221535999999994</v>
          </cell>
          <cell r="F24">
            <v>2.8391039999999998</v>
          </cell>
          <cell r="G24">
            <v>1.8724608000000003</v>
          </cell>
          <cell r="H24">
            <v>9.0797760000000007</v>
          </cell>
          <cell r="I24">
            <v>6.4281600000000001</v>
          </cell>
          <cell r="J24">
            <v>7.0441919999999998</v>
          </cell>
          <cell r="K24">
            <v>0.40694399999999997</v>
          </cell>
          <cell r="L24">
            <v>5.6246400000000002E-2</v>
          </cell>
          <cell r="M24">
            <v>2.9462399999999996E-2</v>
          </cell>
          <cell r="N24">
            <v>1.2959999999999999E-2</v>
          </cell>
        </row>
        <row r="25">
          <cell r="C25">
            <v>8.0351999999999993E-3</v>
          </cell>
          <cell r="D25">
            <v>1.0367999999999999</v>
          </cell>
          <cell r="E25">
            <v>1.3793759999999999</v>
          </cell>
          <cell r="F25">
            <v>8.4369599999999991</v>
          </cell>
          <cell r="G25">
            <v>5.9512320000000001</v>
          </cell>
          <cell r="H25">
            <v>17.597087999999999</v>
          </cell>
          <cell r="I25">
            <v>24.416640000000001</v>
          </cell>
          <cell r="J25">
            <v>4.4997119999999997</v>
          </cell>
          <cell r="K25">
            <v>1.3296960000000002</v>
          </cell>
          <cell r="L25">
            <v>1.4409792000000001</v>
          </cell>
          <cell r="M25">
            <v>7.7673599999999995E-2</v>
          </cell>
          <cell r="N25">
            <v>3.1104E-2</v>
          </cell>
        </row>
        <row r="26">
          <cell r="C26">
            <v>0.37229760000000006</v>
          </cell>
          <cell r="D26">
            <v>7.2057599999999988</v>
          </cell>
          <cell r="E26">
            <v>6.053183999999999</v>
          </cell>
          <cell r="F26">
            <v>7.76736</v>
          </cell>
          <cell r="G26">
            <v>9.295776</v>
          </cell>
          <cell r="H26">
            <v>11.999232000000001</v>
          </cell>
          <cell r="I26">
            <v>24.83136</v>
          </cell>
          <cell r="J26">
            <v>10.070784</v>
          </cell>
          <cell r="K26">
            <v>3.8879999999999999</v>
          </cell>
          <cell r="L26">
            <v>0.32944319999999999</v>
          </cell>
          <cell r="M26">
            <v>7.4995200000000012E-2</v>
          </cell>
          <cell r="N26">
            <v>0.45359999999999995</v>
          </cell>
        </row>
        <row r="27">
          <cell r="C27">
            <v>1.3633055999999999</v>
          </cell>
          <cell r="D27">
            <v>1.2700800000000001</v>
          </cell>
          <cell r="E27">
            <v>3.6426240000000005</v>
          </cell>
          <cell r="F27">
            <v>6.240672</v>
          </cell>
          <cell r="G27">
            <v>2.975616</v>
          </cell>
          <cell r="H27">
            <v>3.4819200000000001</v>
          </cell>
          <cell r="I27">
            <v>30.326399999999996</v>
          </cell>
          <cell r="J27">
            <v>14.141952</v>
          </cell>
          <cell r="K27">
            <v>2.3613120000000003</v>
          </cell>
          <cell r="L27">
            <v>0.57317759999999995</v>
          </cell>
          <cell r="M27">
            <v>1.8079200000000002</v>
          </cell>
          <cell r="N27">
            <v>0.21254400000000001</v>
          </cell>
        </row>
        <row r="28">
          <cell r="C28">
            <v>1.9632672</v>
          </cell>
          <cell r="D28">
            <v>4.0175999999999998</v>
          </cell>
          <cell r="E28">
            <v>15.641856000000001</v>
          </cell>
          <cell r="F28">
            <v>5.22288</v>
          </cell>
          <cell r="G28">
            <v>10.136448000000001</v>
          </cell>
          <cell r="H28">
            <v>12.85632</v>
          </cell>
          <cell r="I28">
            <v>23.639039999999998</v>
          </cell>
          <cell r="J28">
            <v>14.222303999999998</v>
          </cell>
          <cell r="K28">
            <v>7.4131200000000002</v>
          </cell>
          <cell r="L28">
            <v>0.76066559999999994</v>
          </cell>
          <cell r="M28">
            <v>0.11784959999999998</v>
          </cell>
          <cell r="N28">
            <v>0.14255999999999999</v>
          </cell>
        </row>
        <row r="29">
          <cell r="C29">
            <v>0.62138879999999996</v>
          </cell>
          <cell r="D29">
            <v>1.0860479999999999</v>
          </cell>
          <cell r="E29">
            <v>4.044384</v>
          </cell>
          <cell r="F29">
            <v>2.7319680000000002</v>
          </cell>
          <cell r="G29">
            <v>7.5237119999999997</v>
          </cell>
          <cell r="H29">
            <v>25.043040000000001</v>
          </cell>
          <cell r="I29">
            <v>31.103999999999999</v>
          </cell>
          <cell r="J29">
            <v>5.062176</v>
          </cell>
          <cell r="K29">
            <v>2.1280320000000001</v>
          </cell>
          <cell r="L29">
            <v>0.4365792</v>
          </cell>
          <cell r="M29">
            <v>0.46871999999999991</v>
          </cell>
          <cell r="N29">
            <v>0.86054400000000009</v>
          </cell>
        </row>
        <row r="30">
          <cell r="C30">
            <v>0.79816319999999996</v>
          </cell>
          <cell r="D30">
            <v>0.97459200000000001</v>
          </cell>
          <cell r="E30">
            <v>6.6424320000000003</v>
          </cell>
          <cell r="F30">
            <v>4.8211199999999996</v>
          </cell>
          <cell r="G30">
            <v>3.5579519999999998</v>
          </cell>
          <cell r="H30">
            <v>13.686624</v>
          </cell>
          <cell r="I30">
            <v>35.510399999999997</v>
          </cell>
          <cell r="J30">
            <v>9.8832959999999996</v>
          </cell>
          <cell r="K30">
            <v>4.6396800000000002</v>
          </cell>
          <cell r="L30">
            <v>0.37497600000000003</v>
          </cell>
          <cell r="M30">
            <v>6.4281599999999994E-2</v>
          </cell>
          <cell r="N30">
            <v>0.196992</v>
          </cell>
        </row>
        <row r="31">
          <cell r="C31">
            <v>0.57099999999999995</v>
          </cell>
          <cell r="D31">
            <v>0.88</v>
          </cell>
          <cell r="E31">
            <v>0.95</v>
          </cell>
          <cell r="F31">
            <v>1.29</v>
          </cell>
          <cell r="G31">
            <v>1.61</v>
          </cell>
          <cell r="H31">
            <v>7.41</v>
          </cell>
          <cell r="I31">
            <v>4.34</v>
          </cell>
          <cell r="J31">
            <v>5.55</v>
          </cell>
          <cell r="K31">
            <v>0.64900000000000002</v>
          </cell>
          <cell r="L31">
            <v>5.1999999999999998E-2</v>
          </cell>
          <cell r="M31">
            <v>0.112</v>
          </cell>
          <cell r="N31">
            <v>3.0000000000000001E-3</v>
          </cell>
        </row>
        <row r="32">
          <cell r="C32">
            <v>2.1999999999999999E-2</v>
          </cell>
          <cell r="D32">
            <v>0.95899999999999996</v>
          </cell>
          <cell r="E32">
            <v>13.1</v>
          </cell>
          <cell r="F32">
            <v>10.8</v>
          </cell>
          <cell r="G32">
            <v>9.5299999999999994</v>
          </cell>
          <cell r="H32">
            <v>26.3</v>
          </cell>
          <cell r="I32">
            <v>36.299999999999997</v>
          </cell>
          <cell r="J32">
            <v>7.7</v>
          </cell>
          <cell r="K32">
            <v>2.27</v>
          </cell>
          <cell r="L32">
            <v>0.76200000000000001</v>
          </cell>
          <cell r="M32">
            <v>0.60599999999999998</v>
          </cell>
          <cell r="N32">
            <v>1.55</v>
          </cell>
        </row>
        <row r="33">
          <cell r="C33">
            <v>3.2738530000000003</v>
          </cell>
          <cell r="D33">
            <v>3.5316669000000003</v>
          </cell>
          <cell r="E33">
            <v>3.2402251</v>
          </cell>
          <cell r="F33">
            <v>3.2402251</v>
          </cell>
          <cell r="G33">
            <v>5.4260386</v>
          </cell>
          <cell r="H33">
            <v>4.6077596999999999</v>
          </cell>
          <cell r="I33">
            <v>5.4148293000000001</v>
          </cell>
          <cell r="J33">
            <v>4.3611550999999995</v>
          </cell>
          <cell r="K33">
            <v>1.6260859000000001</v>
          </cell>
          <cell r="L33">
            <v>1.3906906000000001</v>
          </cell>
          <cell r="M33">
            <v>1.0095744</v>
          </cell>
          <cell r="N33">
            <v>0.91990000000000005</v>
          </cell>
        </row>
        <row r="34">
          <cell r="C34">
            <v>1.7791509070375635</v>
          </cell>
          <cell r="D34">
            <v>1.7843589123129395</v>
          </cell>
          <cell r="E34">
            <v>2.18861876352315</v>
          </cell>
          <cell r="F34">
            <v>7.718815419720638</v>
          </cell>
          <cell r="G34">
            <v>11.559203313186289</v>
          </cell>
          <cell r="H34">
            <v>14.374411579733273</v>
          </cell>
          <cell r="I34">
            <v>3.5906801071396957</v>
          </cell>
          <cell r="J34">
            <v>2.2060414697750836</v>
          </cell>
          <cell r="K34">
            <v>3.0033340044005921</v>
          </cell>
          <cell r="L34">
            <v>0.58196687576339046</v>
          </cell>
          <cell r="M34">
            <v>0.51921320230602852</v>
          </cell>
          <cell r="N34">
            <v>0.75836794637908578</v>
          </cell>
        </row>
        <row r="35">
          <cell r="C35">
            <v>1.0106555798715366</v>
          </cell>
          <cell r="D35">
            <v>1.4456668220970927</v>
          </cell>
          <cell r="E35">
            <v>2.049889540150315</v>
          </cell>
          <cell r="F35">
            <v>2.4008385957732257</v>
          </cell>
          <cell r="G35">
            <v>6.2057193604690397</v>
          </cell>
          <cell r="H35">
            <v>17.981257428302204</v>
          </cell>
          <cell r="I35">
            <v>14.921753800970578</v>
          </cell>
          <cell r="J35">
            <v>2.988258647564737</v>
          </cell>
          <cell r="K35">
            <v>2.3596498698574013</v>
          </cell>
          <cell r="L35">
            <v>0.75393265144807964</v>
          </cell>
          <cell r="M35">
            <v>0.6390111212015902</v>
          </cell>
          <cell r="N35">
            <v>0.67618816025149786</v>
          </cell>
        </row>
        <row r="36">
          <cell r="C36">
            <v>1.0180909063173638</v>
          </cell>
          <cell r="D36">
            <v>1.8210595144450967</v>
          </cell>
          <cell r="E36">
            <v>2.1229450698728596</v>
          </cell>
          <cell r="F36">
            <v>1.7945999483434925</v>
          </cell>
          <cell r="G36">
            <v>5.0534415774983845</v>
          </cell>
          <cell r="H36">
            <v>20.324558983300406</v>
          </cell>
          <cell r="I36">
            <v>5.2391207492474798</v>
          </cell>
          <cell r="J36">
            <v>2.4171032826148982</v>
          </cell>
          <cell r="K36">
            <v>1.4362818640883899</v>
          </cell>
          <cell r="L36">
            <v>1.1409850499525942</v>
          </cell>
          <cell r="M36">
            <v>1.1826908144625905</v>
          </cell>
          <cell r="N36">
            <v>1.3527915102160888</v>
          </cell>
        </row>
        <row r="37">
          <cell r="C37">
            <v>2.6104535384618619</v>
          </cell>
          <cell r="D37">
            <v>2.1795450347402374</v>
          </cell>
          <cell r="E37">
            <v>1.7053334485543536</v>
          </cell>
          <cell r="F37">
            <v>2.3281234478780766</v>
          </cell>
          <cell r="G37">
            <v>4.7962824448917534</v>
          </cell>
          <cell r="H37">
            <v>6.8558521740520515</v>
          </cell>
          <cell r="I37">
            <v>2.6720784648682216</v>
          </cell>
          <cell r="J37">
            <v>1.8697147216498609</v>
          </cell>
          <cell r="K37">
            <v>0.78298896835130205</v>
          </cell>
          <cell r="L37">
            <v>0.60442396033095858</v>
          </cell>
          <cell r="M37">
            <v>0.59411366761575457</v>
          </cell>
          <cell r="N37">
            <v>0.60138558277187248</v>
          </cell>
        </row>
        <row r="38">
          <cell r="C38">
            <v>0.73837475509016304</v>
          </cell>
          <cell r="D38">
            <v>2.3252500372688667</v>
          </cell>
        </row>
      </sheetData>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yfa1"/>
      <sheetName val="ÇUBUK-1"/>
      <sheetName val="ÇUBUK-2"/>
      <sheetName val="KAVŞAKKAYA"/>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 val="K7-1A"/>
    </sheetNames>
    <sheetDataSet>
      <sheetData sheetId="0"/>
      <sheetData sheetId="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İ13-2.2"/>
    </sheetNames>
    <sheetDataSet>
      <sheetData sheetId="0"/>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NAT YAPILARI KRS"/>
      <sheetName val="KOPRULER KRS"/>
      <sheetName val="Sheet1"/>
      <sheetName val="KUTU MENFEZ"/>
      <sheetName val="KM KANATLI"/>
      <sheetName val="KM TASIMA MOMENTLERI"/>
      <sheetName val="TABLIYELI MENFEZ"/>
      <sheetName val="KAPAK"/>
      <sheetName val="Sheet2"/>
      <sheetName val="KOP TAS MOMENT"/>
      <sheetName val="KM ATASMAN ICM"/>
      <sheetName val="KOP ATASMAN ICM"/>
      <sheetName val="139.5100DEV"/>
      <sheetName val="KKANATLI"/>
      <sheetName val="NAKLİYELER"/>
      <sheetName val="103+390-107+250"/>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ıcır 2001 (2)"/>
      <sheetName val="PERSONEL BİLGİLERİ"/>
      <sheetName val="ANA GİRİŞ"/>
      <sheetName val="PM.ALTTEMEL(mu.keş)"/>
      <sheetName val="ŞANTİYE DEĞ(mu.keş)."/>
      <sheetName val="AYDIN-UCGEN"/>
      <sheetName val="UÇGEN-TCK"/>
      <sheetName val="ÜÇGEN PAMUKKALE"/>
      <sheetName val="drenaj kroki"/>
      <sheetName val="değişiklik itineri(mu.keş)"/>
      <sheetName val="KAPAK"/>
      <sheetName val="TİPLERİNE GÖRE"/>
      <sheetName val="MENFEZ ADETLERİ"/>
      <sheetName val="a4saanatmenfez"/>
      <sheetName val="FORE"/>
      <sheetName val="KÖPRÜLER"/>
      <sheetName val="BEYLERBEYİ KÖP"/>
      <sheetName val="DRENAJ"/>
      <sheetName val="KAVŞAK"/>
      <sheetName val="FORM 5 gidiş dönüş"/>
      <sheetName val="FORM5 2002 YATIRIM PROGRAMI gid"/>
      <sheetName val="İHALE BİLGİLERİ"/>
      <sheetName val="FORM KAPAK YAZSISI"/>
      <sheetName val="DDY FORE"/>
      <sheetName val="BEYLERBEYİ"/>
      <sheetName val="DUACILLI"/>
      <sheetName val="DDY"/>
      <sheetName val="MENDERES"/>
      <sheetName val="mıcır 2001"/>
      <sheetName val="kalınlık"/>
      <sheetName val="OCAKLAR ÖN"/>
      <sheetName val="OCAKLAR ARKA"/>
      <sheetName val="PERSONEL ŞAHSİ BİLGİ KAPAK"/>
      <sheetName val="123+900--129+800 İTİNER"/>
      <sheetName val="ALTTEMEL2001"/>
      <sheetName val="MEKANİK2001"/>
      <sheetName val="SON DURUM(GÜNCEL)"/>
      <sheetName val="İMALAT KONTROL ALT+PMX"/>
      <sheetName val="B.TEMEL İLERLEME İTİNER"/>
      <sheetName val="Sayfa4"/>
      <sheetName val="işçi alacakları"/>
      <sheetName val="işçi alacakları1"/>
      <sheetName val="yıl sonu imalatı"/>
      <sheetName val="trafik levhaları"/>
      <sheetName val="traifk proje"/>
      <sheetName val="kapı levhası"/>
      <sheetName val="B.TEMEL.BİNDER ASINMA İLERLEME"/>
      <sheetName val="İZİN DİLEKÇESİ"/>
      <sheetName val="107+250-112+200"/>
      <sheetName val="103+390-107+250"/>
      <sheetName val="112+200-113+000"/>
      <sheetName val="113+000-117+127"/>
      <sheetName val="sanat son durum"/>
      <sheetName val="söz.olmayan keşif özeti"/>
      <sheetName val="2002 yılı iş programı"/>
      <sheetName val="sanay yapı röleve"/>
      <sheetName val="yazı8"/>
      <sheetName val="Sayfa1"/>
      <sheetName val="Sayfa2"/>
      <sheetName val="yazı"/>
      <sheetName val="yazı1"/>
      <sheetName val="yazı3"/>
      <sheetName val="yazı4"/>
      <sheetName val="yazı5"/>
      <sheetName val="protokol yazısı"/>
      <sheetName val="DOLGU SEVLERİ"/>
      <sheetName val="dolgu çalışması"/>
      <sheetName val="yazı7"/>
      <sheetName val="139.5100DE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28">
          <cell r="IV28" t="str">
            <v xml:space="preserve"> </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AĞIŞ"/>
      <sheetName val="SICAKLIK"/>
      <sheetName val="BUHARLAŞMA"/>
      <sheetName val="RÜZGAR VE BAĞIL NEM"/>
    </sheetNames>
    <sheetDataSet>
      <sheetData sheetId="0"/>
      <sheetData sheetId="1" refreshError="1"/>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AĞIŞ"/>
      <sheetName val="SICAKLIK"/>
      <sheetName val="BUHARLAŞMA"/>
      <sheetName val="RÜZGAR VE BAĞIL NEM"/>
    </sheetNames>
    <sheetDataSet>
      <sheetData sheetId="0"/>
      <sheetData sheetId="1" refreshError="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sheetName val="T2"/>
      <sheetName val="T3"/>
      <sheetName val="T4"/>
      <sheetName val="T5"/>
      <sheetName val="T6"/>
      <sheetName val="T7"/>
      <sheetName val="T8"/>
      <sheetName val="T9"/>
      <sheetName val="T10"/>
      <sheetName val="T11"/>
      <sheetName val="T12"/>
      <sheetName val="T13"/>
      <sheetName val="T14"/>
      <sheetName val="T15"/>
      <sheetName val="T16"/>
      <sheetName val="T17"/>
      <sheetName val="T18"/>
      <sheetName val="T19"/>
      <sheetName val="T20"/>
      <sheetName val="T20-1"/>
      <sheetName val="T21"/>
      <sheetName val="T22"/>
      <sheetName val="T23"/>
      <sheetName val="T24"/>
      <sheetName val="T25"/>
      <sheetName val="T26"/>
      <sheetName val="T26-1"/>
      <sheetName val="T27"/>
      <sheetName val="T28"/>
      <sheetName val="T29"/>
      <sheetName val="T30"/>
      <sheetName val="T31"/>
      <sheetName val="T31-1"/>
      <sheetName val="T31-2"/>
      <sheetName val="T32"/>
      <sheetName val="T33"/>
      <sheetName val="T34"/>
      <sheetName val="T35"/>
      <sheetName val="T36"/>
      <sheetName val="T37"/>
      <sheetName val="T38"/>
      <sheetName val="T39"/>
      <sheetName val="T40"/>
      <sheetName val="T41"/>
      <sheetName val="T42"/>
      <sheetName val="T43"/>
      <sheetName val="T44"/>
      <sheetName val="Ş1"/>
      <sheetName val="Ş2"/>
      <sheetName val="Ş3"/>
      <sheetName val="Ş4"/>
      <sheetName val="Ş5"/>
      <sheetName val="Ş6"/>
      <sheetName val="Ş7"/>
      <sheetName val="Ş8"/>
      <sheetName val="Ş9"/>
      <sheetName val="Ş10"/>
      <sheetName val="Ş11"/>
      <sheetName val="Ş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sheetName val="T2"/>
      <sheetName val="T3"/>
      <sheetName val="T4"/>
      <sheetName val="T5"/>
      <sheetName val="T6"/>
      <sheetName val="T7"/>
      <sheetName val="T8"/>
      <sheetName val="T9"/>
      <sheetName val="T10"/>
      <sheetName val="T11"/>
      <sheetName val="T12"/>
      <sheetName val="T13"/>
      <sheetName val="T14"/>
      <sheetName val="T15"/>
      <sheetName val="T16"/>
      <sheetName val="T17"/>
      <sheetName val="T18"/>
      <sheetName val="T19"/>
      <sheetName val="T20"/>
      <sheetName val="T20-1"/>
      <sheetName val="T21"/>
      <sheetName val="T22"/>
      <sheetName val="T23"/>
      <sheetName val="T24"/>
      <sheetName val="T25"/>
      <sheetName val="T26"/>
      <sheetName val="T26-1"/>
      <sheetName val="T27"/>
      <sheetName val="T28"/>
      <sheetName val="T29"/>
      <sheetName val="T30"/>
      <sheetName val="T31"/>
      <sheetName val="T31-1"/>
      <sheetName val="T31-2"/>
      <sheetName val="T32"/>
      <sheetName val="T33"/>
      <sheetName val="T34"/>
      <sheetName val="T35"/>
      <sheetName val="T36"/>
      <sheetName val="T37"/>
      <sheetName val="T38"/>
      <sheetName val="T39"/>
      <sheetName val="T40"/>
      <sheetName val="T41"/>
      <sheetName val="T42"/>
      <sheetName val="T43"/>
      <sheetName val="T44"/>
      <sheetName val="Ş1"/>
      <sheetName val="Ş2"/>
      <sheetName val="Ş3"/>
      <sheetName val="Ş4"/>
      <sheetName val="Ş5"/>
      <sheetName val="Ş6"/>
      <sheetName val="Ş7"/>
      <sheetName val="Ş8"/>
      <sheetName val="Ş9"/>
      <sheetName val="Ş10"/>
      <sheetName val="Ş11"/>
      <sheetName val="Ş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FEZKSF"/>
      <sheetName val="AGKSF"/>
      <sheetName val="DDYKSF"/>
      <sheetName val="TCKKSF"/>
      <sheetName val="SPOZ"/>
      <sheetName val="S101"/>
      <sheetName val="S102.1"/>
      <sheetName val="S102.2"/>
      <sheetName val="S102.3"/>
      <sheetName val="S102.4"/>
      <sheetName val="S103.1"/>
      <sheetName val="S103.2"/>
      <sheetName val="S103.3"/>
      <sheetName val="S104.1"/>
      <sheetName val="S104.2"/>
      <sheetName val="S105"/>
      <sheetName val="S106"/>
      <sheetName val="S107"/>
      <sheetName val="S108"/>
      <sheetName val="S109"/>
      <sheetName val="S110"/>
      <sheetName val="S111"/>
      <sheetName val="S112"/>
      <sheetName val="S113"/>
      <sheetName val="S114"/>
      <sheetName val="S115"/>
      <sheetName val="S116"/>
      <sheetName val="S117"/>
      <sheetName val="S118"/>
      <sheetName val="S120"/>
      <sheetName val="S119"/>
      <sheetName val="YBF-06"/>
      <sheetName val="K6"/>
      <sheetName val="MF"/>
      <sheetName val="AG"/>
      <sheetName val="KU"/>
      <sheetName val="hendekkm"/>
      <sheetName val="Sayfa1"/>
      <sheetName val="rayı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2">
          <cell r="E2">
            <v>2.39</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FEZKSF"/>
      <sheetName val="AGKSF"/>
      <sheetName val="DDYKSF"/>
      <sheetName val="TCKKSF"/>
      <sheetName val="SPOZ"/>
      <sheetName val="S101"/>
      <sheetName val="S102.1"/>
      <sheetName val="S102.2"/>
      <sheetName val="S102.3"/>
      <sheetName val="S102.4"/>
      <sheetName val="S103.1"/>
      <sheetName val="S103.2"/>
      <sheetName val="S103.3"/>
      <sheetName val="S104.1"/>
      <sheetName val="S104.2"/>
      <sheetName val="S105"/>
      <sheetName val="S106"/>
      <sheetName val="S107"/>
      <sheetName val="S108"/>
      <sheetName val="S109"/>
      <sheetName val="S110"/>
      <sheetName val="S111"/>
      <sheetName val="S112"/>
      <sheetName val="S113"/>
      <sheetName val="S114"/>
      <sheetName val="S115"/>
      <sheetName val="S116"/>
      <sheetName val="S117"/>
      <sheetName val="S118"/>
      <sheetName val="S120"/>
      <sheetName val="S119"/>
      <sheetName val="YBF-06"/>
      <sheetName val="K6"/>
      <sheetName val="MF"/>
      <sheetName val="AG"/>
      <sheetName val="KU"/>
      <sheetName val="hendekkm"/>
      <sheetName val="Sayfa1"/>
      <sheetName val="rayı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2">
          <cell r="E2">
            <v>2.39</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FEZKSF"/>
      <sheetName val="AGKSF"/>
      <sheetName val="DDYKSF"/>
      <sheetName val="TCKKSF"/>
      <sheetName val="SPOZ"/>
      <sheetName val="S101"/>
      <sheetName val="S102.1"/>
      <sheetName val="S102.2"/>
      <sheetName val="S102.3"/>
      <sheetName val="S102.4"/>
      <sheetName val="S103.1"/>
      <sheetName val="S103.2"/>
      <sheetName val="S103.3"/>
      <sheetName val="S104.1"/>
      <sheetName val="S104.2"/>
      <sheetName val="S105"/>
      <sheetName val="S106"/>
      <sheetName val="S107"/>
      <sheetName val="S108"/>
      <sheetName val="S109"/>
      <sheetName val="S110"/>
      <sheetName val="S111"/>
      <sheetName val="YBF-05"/>
      <sheetName val="S113"/>
      <sheetName val="S114"/>
      <sheetName val="S115"/>
      <sheetName val="S116"/>
      <sheetName val="S117"/>
      <sheetName val="S118"/>
      <sheetName val="S119"/>
      <sheetName val="S120"/>
      <sheetName val="S121"/>
      <sheetName val="K6"/>
      <sheetName val="MF"/>
      <sheetName val="AG"/>
      <sheetName val="KU"/>
      <sheetName val="hendekkm"/>
      <sheetName val="Sayfa1"/>
      <sheetName val="rayıc"/>
    </sheetNames>
    <sheetDataSet>
      <sheetData sheetId="0"/>
      <sheetData sheetId="1"/>
      <sheetData sheetId="2"/>
      <sheetData sheetId="3"/>
      <sheetData sheetId="4"/>
      <sheetData sheetId="5"/>
      <sheetData sheetId="6">
        <row r="9">
          <cell r="H9">
            <v>15</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FEZKSF"/>
      <sheetName val="AGKSF"/>
      <sheetName val="DDYKSF"/>
      <sheetName val="TCKKSF"/>
      <sheetName val="SPOZ"/>
      <sheetName val="S101"/>
      <sheetName val="S102.1"/>
      <sheetName val="S102.2"/>
      <sheetName val="S102.3"/>
      <sheetName val="S102.4"/>
      <sheetName val="S103.1"/>
      <sheetName val="S103.2"/>
      <sheetName val="S103.3"/>
      <sheetName val="S104.1"/>
      <sheetName val="S104.2"/>
      <sheetName val="S105"/>
      <sheetName val="S106"/>
      <sheetName val="S107"/>
      <sheetName val="S108"/>
      <sheetName val="S109"/>
      <sheetName val="S110"/>
      <sheetName val="S111"/>
      <sheetName val="YBF-05"/>
      <sheetName val="S113"/>
      <sheetName val="S114"/>
      <sheetName val="S115"/>
      <sheetName val="S116"/>
      <sheetName val="S117"/>
      <sheetName val="S118"/>
      <sheetName val="S119"/>
      <sheetName val="S120"/>
      <sheetName val="S121"/>
      <sheetName val="K6"/>
      <sheetName val="MF"/>
      <sheetName val="AG"/>
      <sheetName val="KU"/>
      <sheetName val="hendekkm"/>
      <sheetName val="Sayfa1"/>
      <sheetName val="rayıc"/>
    </sheetNames>
    <sheetDataSet>
      <sheetData sheetId="0"/>
      <sheetData sheetId="1"/>
      <sheetData sheetId="2"/>
      <sheetData sheetId="3"/>
      <sheetData sheetId="4"/>
      <sheetData sheetId="5"/>
      <sheetData sheetId="6">
        <row r="9">
          <cell r="H9">
            <v>15</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harlasma(yagis dusuldu)"/>
      <sheetName val="Buharlasma"/>
      <sheetName val="26-30.orj"/>
      <sheetName val="26-30"/>
      <sheetName val="2610"/>
      <sheetName val="2633"/>
      <sheetName val="2630"/>
      <sheetName val="2620"/>
      <sheetName val="2621"/>
      <sheetName val="2622"/>
      <sheetName val="2627"/>
      <sheetName val="26-36"/>
      <sheetName val="fark"/>
      <sheetName val="Ara (2621-26-30)"/>
      <sheetName val="Başkale Brj"/>
      <sheetName val="Dilektaşı Brj.dgl"/>
      <sheetName val="Sulamalar"/>
      <sheetName val="Sulama-Yolsu"/>
      <sheetName val="Dilektaşı Brj.dvlp"/>
      <sheetName val="Hakkari Brj"/>
      <sheetName val="Ara(3 BRJ)"/>
      <sheetName val="Dagoren Reg"/>
      <sheetName val="Birim"/>
      <sheetName val="Cizelge"/>
      <sheetName val="CiftKutle"/>
      <sheetName val="_AylikAkimlar"/>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 val="139.5100DEV"/>
      <sheetName val="00"/>
      <sheetName val="4-26 İLE 4-58 AKIMLARI"/>
    </sheetNames>
    <sheetDataSet>
      <sheetData sheetId="0"/>
      <sheetData sheetId="1"/>
      <sheetData sheetId="2" refreshError="1"/>
      <sheetData sheetId="3" refreshError="1"/>
      <sheetData sheetId="4" refreshError="1"/>
      <sheetData sheetId="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llanım"/>
      <sheetName val="Input"/>
      <sheetName val="Yüzey Akım"/>
      <sheetName val="Cikti Sayfasi"/>
      <sheetName val="Cikti Sayfasi (2)"/>
      <sheetName val="Isletme Ozeti"/>
      <sheetName val="Dolusavak"/>
      <sheetName val="Enerji"/>
      <sheetName val="Mansap Eksik Kalan"/>
      <sheetName val="Rezervuardan Çekilen"/>
      <sheetName val="E. Üretimi"/>
      <sheetName val="İşletme Grafiği"/>
      <sheetName val="İşletme Grafiği (2)"/>
      <sheetName val="Sheet3"/>
      <sheetName val="OU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4">
          <cell r="A4">
            <v>540</v>
          </cell>
        </row>
        <row r="8">
          <cell r="A8">
            <v>45</v>
          </cell>
        </row>
      </sheetData>
      <sheetData sheetId="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k 3.1"/>
      <sheetName val="Ek 3.2"/>
      <sheetName val="Ek 3.3"/>
      <sheetName val="Ek 3.4"/>
      <sheetName val="Ek 3.5"/>
      <sheetName val="Ek 3.6"/>
      <sheetName val="Ek 3.7"/>
      <sheetName val="Ek 3.8"/>
      <sheetName val="Ek 3.9"/>
      <sheetName val="Ek 3.10"/>
      <sheetName val="Ek 3.11"/>
      <sheetName val="Ek 3.12"/>
      <sheetName val="Ek 3.13"/>
      <sheetName val="Ek 3.14"/>
      <sheetName val="Ek 3.15"/>
      <sheetName val="Ek 3.16"/>
      <sheetName val="Ek 3.17"/>
      <sheetName val="Ek 3.18"/>
      <sheetName val="Ek 3.19"/>
      <sheetName val="Ek 3.20"/>
      <sheetName val="Ek 3.21"/>
      <sheetName val="Ek 3.22"/>
      <sheetName val="Ek 3.23"/>
      <sheetName val="Ek 3.24"/>
      <sheetName val="Ek 3.25"/>
      <sheetName val="Ek 3.26"/>
      <sheetName val="Ek 3.27"/>
      <sheetName val="Ek 3.28"/>
      <sheetName val="Ek 3.29"/>
      <sheetName val="Ek 3.30"/>
      <sheetName val="Ek 3.31"/>
      <sheetName val="Ek 3.32"/>
      <sheetName val="Ek 3.33"/>
      <sheetName val="Ek 3.34"/>
      <sheetName val="Ek 3.35"/>
      <sheetName val="Ek 3.36"/>
      <sheetName val="Ek 3.37"/>
      <sheetName val="Ek 3.38"/>
      <sheetName val="Ek 3.39"/>
      <sheetName val="Ek 3.40"/>
      <sheetName val="Ek 3.41"/>
      <sheetName val="Ek 3.42"/>
      <sheetName val="Ek 3.43"/>
      <sheetName val="Ek 3.44"/>
      <sheetName val="Ek 3.45"/>
      <sheetName val="Ek 3.46"/>
      <sheetName val="Ek 3.47"/>
      <sheetName val="Ek 3.48"/>
      <sheetName val="EKLER"/>
    </sheetNames>
    <definedNames>
      <definedName name="datasayı" refersTo="#REF!"/>
      <definedName name="datayıl" refersTo="#REF!"/>
      <definedName name="Xvalues"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sera CIKTI"/>
      <sheetName val="tarla CIKTI"/>
      <sheetName val="Tablo -1"/>
      <sheetName val="Tablo-2-3"/>
      <sheetName val="Tablo-2-3 (2)"/>
      <sheetName val="Tablo -4 "/>
      <sheetName val="Sayfa3"/>
      <sheetName val="T-5 PAL-ÇAV-OVA SULAMA"/>
      <sheetName val="Tablo3.44"/>
      <sheetName val="Tablo3.45"/>
      <sheetName val="Tablo3.46"/>
      <sheetName val="Tablo3.37"/>
      <sheetName val="Tablo 3.36"/>
      <sheetName val="Tablo3.42"/>
      <sheetName val="Tablo3.43"/>
      <sheetName val="Tablo 3.3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sera CIKTI"/>
      <sheetName val="tarla CIKTI"/>
      <sheetName val="Tablo -1"/>
      <sheetName val="Tablo-2-3"/>
      <sheetName val="Tablo-2-3 (2)"/>
      <sheetName val="Tablo -4 "/>
      <sheetName val="Sayfa3"/>
      <sheetName val="T-5 PAL-ÇAV-OVA SULAMA"/>
      <sheetName val="Tablo3.44"/>
      <sheetName val="Tablo3.45"/>
      <sheetName val="Tablo3.46"/>
      <sheetName val="Tablo3.37"/>
      <sheetName val="Tablo 3.36"/>
      <sheetName val="Tablo3.42"/>
      <sheetName val="Tablo3.43"/>
      <sheetName val="Tablo 3.3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ris"/>
      <sheetName val="Miktar x Eğri Duz Kts"/>
      <sheetName val="Verim x AlanOrani"/>
      <sheetName val="Verim x AlanOrani---"/>
      <sheetName val="Miktar x Alan Orani"/>
      <sheetName val="Miktar x Alan Orani--"/>
      <sheetName val="AGI olmayan Yerler icin"/>
      <sheetName val="AGI icin Debi-Sediment Anh"/>
      <sheetName val="GenelBilgi"/>
    </sheetNames>
    <sheetDataSet>
      <sheetData sheetId="0">
        <row r="6">
          <cell r="C6">
            <v>4189.1000000000004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san_Ref_BF"/>
      <sheetName val="GFA_PMB icin"/>
      <sheetName val="GFA_Serttas icin"/>
      <sheetName val="ANALIZ_PMB_SERTTAS"/>
    </sheetNames>
    <sheetDataSet>
      <sheetData sheetId="0" refreshError="1">
        <row r="1">
          <cell r="D1">
            <v>2004</v>
          </cell>
        </row>
        <row r="2">
          <cell r="D2">
            <v>9</v>
          </cell>
          <cell r="E2" t="str">
            <v>.../..../2004</v>
          </cell>
        </row>
        <row r="3">
          <cell r="E3">
            <v>895014</v>
          </cell>
        </row>
        <row r="4">
          <cell r="B4" t="str">
            <v>Mehmet DEMİRPOLAT</v>
          </cell>
          <cell r="C4" t="str">
            <v>KONTROL ŞEFİ</v>
          </cell>
        </row>
        <row r="5">
          <cell r="B5" t="str">
            <v>Kenan KESKİN</v>
          </cell>
          <cell r="C5" t="str">
            <v>ASFALT BAŞMÜHENDİSİ</v>
          </cell>
        </row>
        <row r="9">
          <cell r="A9" t="str">
            <v>ALMANMARKI</v>
          </cell>
          <cell r="B9" t="str">
            <v>Alman markı yılbaşı kuru</v>
          </cell>
          <cell r="C9" t="str">
            <v>SA</v>
          </cell>
          <cell r="I9">
            <v>895014</v>
          </cell>
        </row>
        <row r="10">
          <cell r="A10" t="str">
            <v>01.015</v>
          </cell>
          <cell r="B10" t="str">
            <v>Beton ustası</v>
          </cell>
          <cell r="C10" t="str">
            <v>SA</v>
          </cell>
          <cell r="D10">
            <v>6016</v>
          </cell>
          <cell r="G10">
            <v>1661000</v>
          </cell>
          <cell r="H10">
            <v>2359000</v>
          </cell>
        </row>
        <row r="11">
          <cell r="A11" t="str">
            <v>01.019</v>
          </cell>
          <cell r="B11" t="str">
            <v>Soğuk demirci ustası</v>
          </cell>
          <cell r="C11" t="str">
            <v>SA</v>
          </cell>
          <cell r="D11">
            <v>6016</v>
          </cell>
          <cell r="E11">
            <v>804320</v>
          </cell>
          <cell r="F11">
            <v>1086000</v>
          </cell>
          <cell r="H11">
            <v>2359000</v>
          </cell>
        </row>
        <row r="12">
          <cell r="A12" t="str">
            <v>01.021</v>
          </cell>
          <cell r="B12" t="str">
            <v>Kaynakçı ustası</v>
          </cell>
          <cell r="C12" t="str">
            <v>SA</v>
          </cell>
          <cell r="E12">
            <v>804320</v>
          </cell>
          <cell r="F12">
            <v>1086000</v>
          </cell>
          <cell r="H12">
            <v>2359000</v>
          </cell>
        </row>
        <row r="13">
          <cell r="A13" t="str">
            <v>01.219</v>
          </cell>
          <cell r="B13" t="str">
            <v>Soğuk demirci usta yardımcısı</v>
          </cell>
          <cell r="C13" t="str">
            <v>SA</v>
          </cell>
          <cell r="D13">
            <v>4259</v>
          </cell>
          <cell r="E13">
            <v>569280</v>
          </cell>
          <cell r="F13">
            <v>769000</v>
          </cell>
          <cell r="H13">
            <v>1670000</v>
          </cell>
        </row>
        <row r="14">
          <cell r="A14" t="str">
            <v>01.401</v>
          </cell>
          <cell r="B14" t="str">
            <v>Şöför</v>
          </cell>
          <cell r="C14" t="str">
            <v>SA</v>
          </cell>
          <cell r="D14">
            <v>6016</v>
          </cell>
          <cell r="G14">
            <v>1661000</v>
          </cell>
          <cell r="H14">
            <v>2359000</v>
          </cell>
        </row>
        <row r="15">
          <cell r="A15" t="str">
            <v>01.404</v>
          </cell>
          <cell r="B15" t="str">
            <v>Operatör makinist</v>
          </cell>
          <cell r="C15" t="str">
            <v>SA</v>
          </cell>
          <cell r="D15">
            <v>6849</v>
          </cell>
          <cell r="G15">
            <v>1891000</v>
          </cell>
          <cell r="H15">
            <v>2685000</v>
          </cell>
        </row>
        <row r="16">
          <cell r="A16" t="str">
            <v>01.405</v>
          </cell>
          <cell r="B16" t="str">
            <v>Makinist yardımcısı</v>
          </cell>
          <cell r="C16" t="str">
            <v>SA</v>
          </cell>
          <cell r="D16">
            <v>4813</v>
          </cell>
          <cell r="G16">
            <v>1329000</v>
          </cell>
          <cell r="H16">
            <v>1887000</v>
          </cell>
        </row>
        <row r="17">
          <cell r="A17" t="str">
            <v>01.406</v>
          </cell>
          <cell r="B17" t="str">
            <v>Operatör yardıncısı</v>
          </cell>
          <cell r="C17" t="str">
            <v>SA</v>
          </cell>
          <cell r="D17">
            <v>5554</v>
          </cell>
          <cell r="G17">
            <v>1534000</v>
          </cell>
          <cell r="H17">
            <v>2178000</v>
          </cell>
        </row>
        <row r="18">
          <cell r="A18" t="str">
            <v>01.409</v>
          </cell>
          <cell r="B18" t="str">
            <v>Formen</v>
          </cell>
          <cell r="C18" t="str">
            <v>SA</v>
          </cell>
          <cell r="D18">
            <v>8631</v>
          </cell>
          <cell r="G18">
            <v>2383000</v>
          </cell>
          <cell r="H18">
            <v>3384000</v>
          </cell>
        </row>
        <row r="19">
          <cell r="A19" t="str">
            <v>01.501</v>
          </cell>
          <cell r="B19" t="str">
            <v>Düz işçi (inşaat işçisi)</v>
          </cell>
          <cell r="C19" t="str">
            <v>SA</v>
          </cell>
          <cell r="D19">
            <v>3936</v>
          </cell>
          <cell r="E19">
            <v>526400</v>
          </cell>
          <cell r="F19">
            <v>711000</v>
          </cell>
          <cell r="G19">
            <v>1087000</v>
          </cell>
          <cell r="H19">
            <v>1544000</v>
          </cell>
          <cell r="I19">
            <v>1853000</v>
          </cell>
        </row>
        <row r="20">
          <cell r="A20" t="str">
            <v>01.502</v>
          </cell>
          <cell r="B20" t="str">
            <v>Erbab işçi</v>
          </cell>
          <cell r="C20" t="str">
            <v>SA</v>
          </cell>
          <cell r="D20">
            <v>4259</v>
          </cell>
          <cell r="G20">
            <v>1176000</v>
          </cell>
          <cell r="H20">
            <v>1670000</v>
          </cell>
        </row>
        <row r="21">
          <cell r="A21" t="str">
            <v>01.507</v>
          </cell>
          <cell r="B21" t="str">
            <v>Birinci sınıf usta</v>
          </cell>
          <cell r="C21" t="str">
            <v>SA</v>
          </cell>
          <cell r="E21">
            <v>804320</v>
          </cell>
          <cell r="F21">
            <v>1086000</v>
          </cell>
          <cell r="H21">
            <v>2359000</v>
          </cell>
          <cell r="I21">
            <v>2831000</v>
          </cell>
        </row>
        <row r="22">
          <cell r="A22" t="str">
            <v>01.508</v>
          </cell>
          <cell r="B22" t="str">
            <v>İkinci sınıf usta</v>
          </cell>
          <cell r="C22" t="str">
            <v>SA</v>
          </cell>
          <cell r="G22">
            <v>1565000</v>
          </cell>
          <cell r="H22">
            <v>2222000</v>
          </cell>
          <cell r="I22">
            <v>2666000</v>
          </cell>
        </row>
        <row r="23">
          <cell r="A23" t="str">
            <v>02.016</v>
          </cell>
          <cell r="B23" t="str">
            <v>Her cins hayvanla çekilen arabalar için taşıma katsayısı (K katsayısı)</v>
          </cell>
          <cell r="C23" t="str">
            <v xml:space="preserve"> </v>
          </cell>
          <cell r="E23">
            <v>4000000</v>
          </cell>
          <cell r="F23">
            <v>5000000</v>
          </cell>
          <cell r="H23">
            <v>10300000</v>
          </cell>
        </row>
        <row r="24">
          <cell r="A24" t="str">
            <v>02.017</v>
          </cell>
          <cell r="B24" t="str">
            <v>Her cins ve tonajda motorlu araç taşıma katsayısı (K katsayısı)</v>
          </cell>
          <cell r="C24" t="str">
            <v xml:space="preserve"> </v>
          </cell>
          <cell r="D24">
            <v>316000</v>
          </cell>
          <cell r="E24">
            <v>28500000</v>
          </cell>
          <cell r="F24">
            <v>35000000</v>
          </cell>
          <cell r="G24">
            <v>57750000</v>
          </cell>
          <cell r="H24">
            <v>72500000</v>
          </cell>
        </row>
        <row r="25">
          <cell r="A25" t="str">
            <v>02.017/A</v>
          </cell>
          <cell r="B25" t="str">
            <v>Her cins ve tonajda motorlu araç taşıma katsayısı (K katsayısı)</v>
          </cell>
          <cell r="C25" t="str">
            <v xml:space="preserve"> </v>
          </cell>
          <cell r="E25">
            <v>28500000</v>
          </cell>
          <cell r="F25">
            <v>35000000</v>
          </cell>
          <cell r="G25">
            <v>57750000</v>
          </cell>
        </row>
        <row r="26">
          <cell r="A26" t="str">
            <v>03.027</v>
          </cell>
          <cell r="B26" t="str">
            <v xml:space="preserve">Vibratör </v>
          </cell>
          <cell r="C26" t="str">
            <v>AD</v>
          </cell>
          <cell r="D26">
            <v>2781100</v>
          </cell>
          <cell r="G26">
            <v>532000000</v>
          </cell>
          <cell r="H26">
            <v>665000000</v>
          </cell>
        </row>
        <row r="27">
          <cell r="A27" t="str">
            <v>03.027/A</v>
          </cell>
          <cell r="B27" t="str">
            <v>Vibratör ( 0.000274 A )</v>
          </cell>
          <cell r="C27" t="str">
            <v>SA</v>
          </cell>
          <cell r="D27">
            <v>762.02139999999997</v>
          </cell>
          <cell r="G27">
            <v>145768</v>
          </cell>
        </row>
        <row r="28">
          <cell r="A28" t="str">
            <v>03.070</v>
          </cell>
          <cell r="B28" t="str">
            <v>Otomatik beton santralı</v>
          </cell>
          <cell r="C28" t="str">
            <v>AD</v>
          </cell>
          <cell r="D28">
            <v>196566350</v>
          </cell>
          <cell r="G28">
            <v>37516000000</v>
          </cell>
          <cell r="H28">
            <v>46895000000</v>
          </cell>
        </row>
        <row r="29">
          <cell r="A29" t="str">
            <v>03.070/A</v>
          </cell>
          <cell r="B29" t="str">
            <v>Otomatik beton santralı (0.000171 A )</v>
          </cell>
          <cell r="C29" t="str">
            <v>SA</v>
          </cell>
          <cell r="D29">
            <v>33612.845850000005</v>
          </cell>
          <cell r="G29">
            <v>6415236</v>
          </cell>
        </row>
        <row r="30">
          <cell r="A30" t="str">
            <v>03.501</v>
          </cell>
          <cell r="B30" t="str">
            <v>Ekskavatörün 1 saatlik ücreti (1 yd3 lük ve takriben 100 HP gücünde)</v>
          </cell>
          <cell r="C30" t="str">
            <v>SA</v>
          </cell>
          <cell r="D30">
            <v>119329</v>
          </cell>
          <cell r="E30">
            <v>12654609</v>
          </cell>
          <cell r="F30">
            <v>16617976</v>
          </cell>
          <cell r="G30">
            <v>29843444</v>
          </cell>
          <cell r="H30">
            <v>40865175</v>
          </cell>
        </row>
        <row r="31">
          <cell r="A31" t="str">
            <v>03.504</v>
          </cell>
          <cell r="B31" t="str">
            <v>Ekskavatörün 1 saatlik ücreti (2 1/2 yd3 lük ve takriben 210 HP gücünde)</v>
          </cell>
          <cell r="C31" t="str">
            <v>SA</v>
          </cell>
          <cell r="E31">
            <v>22447395</v>
          </cell>
          <cell r="F31">
            <v>17126752</v>
          </cell>
          <cell r="G31">
            <v>54012700</v>
          </cell>
          <cell r="H31">
            <v>74041795</v>
          </cell>
        </row>
        <row r="32">
          <cell r="A32" t="str">
            <v>03.506</v>
          </cell>
          <cell r="B32" t="str">
            <v>Traktör skreyperin 1 saatlik ücreti (TD 20 veya emsali 111 DHP + vagon kova 8 yd3)</v>
          </cell>
          <cell r="C32" t="str">
            <v>SA</v>
          </cell>
          <cell r="E32">
            <v>13069427</v>
          </cell>
          <cell r="F32">
            <v>17126752</v>
          </cell>
          <cell r="G32">
            <v>31041285</v>
          </cell>
          <cell r="H32">
            <v>42659024</v>
          </cell>
        </row>
        <row r="33">
          <cell r="A33" t="str">
            <v>03.507</v>
          </cell>
          <cell r="B33" t="str">
            <v>Traktör ripperin 1 saatlik ücreti (TD 25 veya emsali 185 DHP + ripper)</v>
          </cell>
          <cell r="C33" t="str">
            <v>SA</v>
          </cell>
          <cell r="E33">
            <v>20811221</v>
          </cell>
          <cell r="F33">
            <v>27233095</v>
          </cell>
          <cell r="G33">
            <v>53333610</v>
          </cell>
          <cell r="H33">
            <v>72519143</v>
          </cell>
        </row>
        <row r="34">
          <cell r="A34" t="str">
            <v>03.508</v>
          </cell>
          <cell r="B34" t="str">
            <v>Motor greyderin 1 saatlik ücreti (80 HP den yukarı güçte takriben 9 ton)</v>
          </cell>
          <cell r="C34" t="str">
            <v>SA</v>
          </cell>
          <cell r="E34">
            <v>10203916</v>
          </cell>
          <cell r="F34">
            <v>13402747</v>
          </cell>
          <cell r="G34">
            <v>24054177</v>
          </cell>
          <cell r="H34">
            <v>32895014</v>
          </cell>
        </row>
        <row r="35">
          <cell r="A35" t="str">
            <v>03.510/3</v>
          </cell>
          <cell r="B35" t="str">
            <v>Traktör buldozerin 1 saatlik ücreti (160 DHP gücünde, motor + bıçak)</v>
          </cell>
          <cell r="C35" t="str">
            <v>SA</v>
          </cell>
          <cell r="D35">
            <v>146564</v>
          </cell>
          <cell r="E35">
            <v>15637749</v>
          </cell>
          <cell r="F35">
            <v>20365552</v>
          </cell>
          <cell r="G35">
            <v>37985385</v>
          </cell>
          <cell r="H35">
            <v>52465424</v>
          </cell>
        </row>
        <row r="36">
          <cell r="A36" t="str">
            <v>03.511</v>
          </cell>
          <cell r="B36" t="str">
            <v>Traktör buldozerin 1 saatlik ücreti (TD 25 veya emsali 185 DHP + bıçak)</v>
          </cell>
          <cell r="C36" t="str">
            <v>SA</v>
          </cell>
          <cell r="E36">
            <v>20082717</v>
          </cell>
          <cell r="F36">
            <v>26249674</v>
          </cell>
          <cell r="G36">
            <v>48219342</v>
          </cell>
          <cell r="H36">
            <v>66126308</v>
          </cell>
        </row>
        <row r="37">
          <cell r="A37" t="str">
            <v>03.517</v>
          </cell>
          <cell r="B37" t="str">
            <v>Kompresörün 1 saatlik ücreti (210 Cfm lik kompresör + hortum ve tabancaları)</v>
          </cell>
          <cell r="C37" t="str">
            <v>SA</v>
          </cell>
          <cell r="E37">
            <v>8572497</v>
          </cell>
          <cell r="F37">
            <v>11420046</v>
          </cell>
          <cell r="G37">
            <v>18956724</v>
          </cell>
          <cell r="H37">
            <v>26355892</v>
          </cell>
        </row>
        <row r="38">
          <cell r="A38" t="str">
            <v>03.517/1</v>
          </cell>
          <cell r="B38" t="str">
            <v>Vantilasyon makinesinin 1 saatlik ücreti (210 Cfm lik kompresör ve vantilasyon boruları)</v>
          </cell>
          <cell r="C38" t="str">
            <v>SA</v>
          </cell>
          <cell r="E38">
            <v>6060337</v>
          </cell>
          <cell r="F38">
            <v>8027046</v>
          </cell>
          <cell r="G38">
            <v>13767724</v>
          </cell>
          <cell r="H38">
            <v>18986892</v>
          </cell>
        </row>
        <row r="39">
          <cell r="A39" t="str">
            <v>03.517/2</v>
          </cell>
          <cell r="B39" t="str">
            <v>Enjeksiyon makinesinin 1 saatlik ücreti (210 Cfm lik kompresör + enjeksiyon boruları + malzeme tankı)</v>
          </cell>
          <cell r="C39" t="str">
            <v>SA</v>
          </cell>
          <cell r="E39">
            <v>6060337</v>
          </cell>
          <cell r="F39">
            <v>8027046</v>
          </cell>
          <cell r="G39">
            <v>13767724</v>
          </cell>
          <cell r="H39">
            <v>18986892</v>
          </cell>
        </row>
        <row r="40">
          <cell r="A40" t="str">
            <v>03.517/3</v>
          </cell>
          <cell r="B40" t="str">
            <v>Kompresörün 1 saatlik ücreti (250 Cfm lik kompresör + havalı şahmerdan + havalı  delici + havalı sıkıcı grubu + pick-up veya kamyonet)	                  |SA</v>
          </cell>
          <cell r="C40" t="str">
            <v>SA</v>
          </cell>
          <cell r="E40">
            <v>6419509</v>
          </cell>
          <cell r="F40">
            <v>8511752</v>
          </cell>
          <cell r="G40">
            <v>1453144</v>
          </cell>
          <cell r="H40">
            <v>19956030</v>
          </cell>
        </row>
        <row r="41">
          <cell r="A41" t="str">
            <v>03.521</v>
          </cell>
          <cell r="B41" t="str">
            <v>Lastik tekerlekli yükleyicinin 1 saatlik ücreti(1 1/2 yd3 ve 5500 libre taşıma güçlü, takriben 80 DHP muadili)</v>
          </cell>
          <cell r="C41" t="str">
            <v>SA</v>
          </cell>
          <cell r="D41">
            <v>87904</v>
          </cell>
          <cell r="E41">
            <v>9434776</v>
          </cell>
          <cell r="F41">
            <v>12364440</v>
          </cell>
          <cell r="G41">
            <v>22392840</v>
          </cell>
          <cell r="H41">
            <v>30818400</v>
          </cell>
        </row>
        <row r="42">
          <cell r="A42" t="str">
            <v>03.524</v>
          </cell>
          <cell r="B42" t="str">
            <v>Betoniyerin 1 saatlik ücreti (Motoru ile takriben 250 litrelik)</v>
          </cell>
          <cell r="C42" t="str">
            <v>SA</v>
          </cell>
          <cell r="E42">
            <v>3308338</v>
          </cell>
          <cell r="F42">
            <v>4415048</v>
          </cell>
          <cell r="G42">
            <v>7230792</v>
          </cell>
          <cell r="H42">
            <v>10152310</v>
          </cell>
        </row>
        <row r="43">
          <cell r="A43" t="str">
            <v>03.525/1</v>
          </cell>
          <cell r="B43" t="str">
            <v>Yol çizgi boyası silme makinesinin 1 saatlik ücreti (7,5 HP gücünde)</v>
          </cell>
          <cell r="C43" t="str">
            <v>SA</v>
          </cell>
          <cell r="E43">
            <v>4525953</v>
          </cell>
          <cell r="F43">
            <v>6075580</v>
          </cell>
          <cell r="G43">
            <v>9761950</v>
          </cell>
          <cell r="H43">
            <v>13218920</v>
          </cell>
        </row>
        <row r="44">
          <cell r="A44" t="str">
            <v>03.527</v>
          </cell>
          <cell r="B44" t="str">
            <v>Vibratörün 1 saatlik ücreti (2,5 HP güç, 9-16 yd3/saat kapasiteli)</v>
          </cell>
          <cell r="C44" t="str">
            <v>SA</v>
          </cell>
          <cell r="E44">
            <v>870173</v>
          </cell>
          <cell r="F44">
            <v>1163642</v>
          </cell>
          <cell r="G44">
            <v>1887418</v>
          </cell>
          <cell r="H44">
            <v>2652410</v>
          </cell>
        </row>
        <row r="45">
          <cell r="A45" t="str">
            <v>03.530</v>
          </cell>
          <cell r="B45" t="str">
            <v>Konkasörün 1 saatlik ücreti (Primer 15"x24"+sekonder 24"x16",eleme ve yükleme tertibatlı, 25 m3/saat 1" ve 40 m3/saat 2" randımanlı)</v>
          </cell>
          <cell r="C45" t="str">
            <v>SA</v>
          </cell>
          <cell r="D45">
            <v>187645</v>
          </cell>
          <cell r="E45">
            <v>20805908</v>
          </cell>
          <cell r="F45">
            <v>27392011</v>
          </cell>
          <cell r="G45">
            <v>48409803</v>
          </cell>
          <cell r="H45">
            <v>66953051</v>
          </cell>
        </row>
        <row r="46">
          <cell r="A46" t="str">
            <v>03.531</v>
          </cell>
          <cell r="B46" t="str">
            <v>Eleme makinesinin 1 saatlik ücreti</v>
          </cell>
          <cell r="C46" t="str">
            <v>SA</v>
          </cell>
          <cell r="D46">
            <v>64503</v>
          </cell>
          <cell r="E46">
            <v>7268451</v>
          </cell>
          <cell r="F46">
            <v>9486767</v>
          </cell>
          <cell r="G46">
            <v>17430617</v>
          </cell>
          <cell r="H46">
            <v>24376334</v>
          </cell>
        </row>
        <row r="47">
          <cell r="A47" t="str">
            <v>03.533</v>
          </cell>
          <cell r="B47" t="str">
            <v>Motopompun 1 saatlik ücreti (5 Ps. gücünde)</v>
          </cell>
          <cell r="C47" t="str">
            <v>SA</v>
          </cell>
          <cell r="E47">
            <v>1109934</v>
          </cell>
          <cell r="F47">
            <v>1467798</v>
          </cell>
          <cell r="G47">
            <v>2519360</v>
          </cell>
          <cell r="H47">
            <v>3554650</v>
          </cell>
        </row>
        <row r="48">
          <cell r="A48" t="str">
            <v>03.534</v>
          </cell>
          <cell r="B48" t="str">
            <v>Motopompun 1 saatlik ücreti (20 Ps. gücünde)</v>
          </cell>
          <cell r="C48" t="str">
            <v>SA</v>
          </cell>
          <cell r="E48">
            <v>2513068</v>
          </cell>
          <cell r="F48">
            <v>3268690</v>
          </cell>
          <cell r="G48">
            <v>6098744</v>
          </cell>
          <cell r="H48">
            <v>8567980</v>
          </cell>
        </row>
        <row r="49">
          <cell r="A49" t="str">
            <v>03.538</v>
          </cell>
          <cell r="B49" t="str">
            <v>Arazözün 1 saatlik ücreti (5 tonluk su tanklı)</v>
          </cell>
          <cell r="C49" t="str">
            <v>SA</v>
          </cell>
          <cell r="E49">
            <v>5570037</v>
          </cell>
          <cell r="F49">
            <v>7240077</v>
          </cell>
          <cell r="G49">
            <v>13566825</v>
          </cell>
          <cell r="H49">
            <v>18983034</v>
          </cell>
        </row>
        <row r="50">
          <cell r="A50" t="str">
            <v>03.538/1</v>
          </cell>
          <cell r="B50" t="str">
            <v>Arazözün (Pick-up) 1 saatlik ücreti</v>
          </cell>
          <cell r="C50" t="str">
            <v>SA</v>
          </cell>
          <cell r="E50">
            <v>5289843</v>
          </cell>
          <cell r="F50">
            <v>6861825</v>
          </cell>
          <cell r="G50">
            <v>12961656</v>
          </cell>
          <cell r="H50">
            <v>18226530</v>
          </cell>
        </row>
        <row r="51">
          <cell r="A51" t="str">
            <v>03.538/2</v>
          </cell>
          <cell r="B51" t="str">
            <v>Kamyonun 1 saatlik ücreti (120 HP gücünde, 7 ton kapasiteli)</v>
          </cell>
          <cell r="C51" t="str">
            <v>SA</v>
          </cell>
          <cell r="E51">
            <v>10279324</v>
          </cell>
          <cell r="F51">
            <v>13317822</v>
          </cell>
          <cell r="G51">
            <v>25384257</v>
          </cell>
          <cell r="H51">
            <v>35372124</v>
          </cell>
        </row>
        <row r="52">
          <cell r="A52" t="str">
            <v>03.540</v>
          </cell>
          <cell r="B52" t="str">
            <v>Her cins (Titreşimli darbeli) motorlu kompaktörün 1 saatlik ücreti (Plaka, tokmak ve benzeri) (Motor gücü 9 HP, statik ağırlığı 400 kg.)</v>
          </cell>
          <cell r="C52" t="str">
            <v>SA</v>
          </cell>
          <cell r="E52">
            <v>3060429</v>
          </cell>
          <cell r="F52">
            <v>4090010</v>
          </cell>
          <cell r="G52">
            <v>6637364</v>
          </cell>
          <cell r="H52">
            <v>9353620</v>
          </cell>
        </row>
        <row r="53">
          <cell r="A53" t="str">
            <v>03.541</v>
          </cell>
          <cell r="B53" t="str">
            <v>Titreşimli silindirin 1 saatlik ücreti (4-5 ton-5 ton dahilstatik ağırlık ve 8-9 ton dinamik kuvvette titreşimli silindir + lastik tekerlekli traktör, takriben 35-58 DHP)</v>
          </cell>
          <cell r="C53" t="str">
            <v>SA</v>
          </cell>
          <cell r="E53">
            <v>8466715</v>
          </cell>
          <cell r="F53">
            <v>11057653</v>
          </cell>
          <cell r="G53">
            <v>20301924</v>
          </cell>
          <cell r="H53">
            <v>28204655</v>
          </cell>
        </row>
        <row r="54">
          <cell r="A54" t="str">
            <v>03.542</v>
          </cell>
          <cell r="B54" t="str">
            <v>Titreşimli silindirin 1 saatlik ücreti (4-5 ton-5 ton dahilstatik ağırlık ve 8-9 ton dinamik kuvvette titreşimli silindir + paletli traktör, takriben 41-56 DHP)</v>
          </cell>
          <cell r="C54" t="str">
            <v>SA</v>
          </cell>
          <cell r="E54">
            <v>8945750</v>
          </cell>
          <cell r="F54">
            <v>11685592</v>
          </cell>
          <cell r="G54">
            <v>21446265</v>
          </cell>
          <cell r="H54">
            <v>29742944</v>
          </cell>
        </row>
        <row r="55">
          <cell r="A55" t="str">
            <v>03.542/1</v>
          </cell>
          <cell r="B55" t="str">
            <v>Ttreşimli silindirin 1 saatlik ücreti (5-6 ton-6 ton dahilstatik ağırlık ve 10-12 ton dinamik kuvvette titreşimli silindir + paletli traktör, takriben 45-61 DHP)</v>
          </cell>
          <cell r="C55" t="str">
            <v>SA</v>
          </cell>
          <cell r="E55">
            <v>9893869</v>
          </cell>
          <cell r="F55">
            <v>12900385</v>
          </cell>
          <cell r="G55">
            <v>23878344</v>
          </cell>
          <cell r="H55">
            <v>33160370</v>
          </cell>
        </row>
        <row r="56">
          <cell r="A56" t="str">
            <v>03.542/2</v>
          </cell>
          <cell r="B56" t="str">
            <v>Titreşimli silindirin 1 saatlik ücreti (6-7 ton-7 ton dahilstatik ağırlık ve 12-14 ton dinamik kuvvette titreşimli silindir + paletli traktör, takriben 50-60 DHP)</v>
          </cell>
          <cell r="C56" t="str">
            <v>SA</v>
          </cell>
          <cell r="E56">
            <v>11914405</v>
          </cell>
          <cell r="F56">
            <v>15558211</v>
          </cell>
          <cell r="G56">
            <v>28654023</v>
          </cell>
          <cell r="H56">
            <v>39534251</v>
          </cell>
        </row>
        <row r="57">
          <cell r="A57" t="str">
            <v>03.542/3</v>
          </cell>
          <cell r="B57" t="str">
            <v>Titreşimli silindirin 1 saatlik ücreti (7-9 ton-9 ton dahilstatik ağırlık ve 14-18 ton dinamik kuvvette titreşimli silindir + paletli traktör, takriben 56-76 DHP)</v>
          </cell>
          <cell r="C57" t="str">
            <v>SA</v>
          </cell>
          <cell r="E57">
            <v>13492043</v>
          </cell>
          <cell r="F57">
            <v>17580655</v>
          </cell>
          <cell r="G57">
            <v>32692368</v>
          </cell>
          <cell r="H57">
            <v>45202190</v>
          </cell>
        </row>
        <row r="58">
          <cell r="A58" t="str">
            <v>03.542/4</v>
          </cell>
          <cell r="B58" t="str">
            <v>Titreşimli silindirin 1 saatlik ücreti(9-11 ton-11 ton dahilstatik ağırlık ve 18-22 ton dinamik kuvvette titreşimli silindir + paletli traktör, takriben 66-86 DHP)</v>
          </cell>
          <cell r="C58" t="str">
            <v>SA</v>
          </cell>
          <cell r="E58">
            <v>15953854</v>
          </cell>
          <cell r="F58">
            <v>20787544</v>
          </cell>
          <cell r="G58">
            <v>38695422</v>
          </cell>
          <cell r="H58">
            <v>53379968</v>
          </cell>
        </row>
        <row r="59">
          <cell r="A59" t="str">
            <v>03.542/5</v>
          </cell>
          <cell r="B59" t="str">
            <v>Titreşimli silindirin 1 saatlik ücreti (11-13 ton-13 ton dahil-statik ağırlık ve 22-26 ton dinamik kuvvette titreşimli silindir + paletli traktör, takriben 76-96 DHP)</v>
          </cell>
          <cell r="C59" t="str">
            <v>SA</v>
          </cell>
          <cell r="E59">
            <v>17967355</v>
          </cell>
          <cell r="F59">
            <v>23389264</v>
          </cell>
          <cell r="G59">
            <v>43730274</v>
          </cell>
          <cell r="H59">
            <v>60347408</v>
          </cell>
        </row>
        <row r="60">
          <cell r="A60" t="str">
            <v>03.542/6</v>
          </cell>
          <cell r="B60" t="str">
            <v>Titreşimli silindirin 1 saatlik ücreti (13-15 ton-15 ton dahil-statik ağırlık ve 26-30 ton dinamik kuvvette titreşimli silindir + paletli traktör, takriben 90-110 DHP)</v>
          </cell>
          <cell r="C60" t="str">
            <v>SA</v>
          </cell>
          <cell r="E60">
            <v>20357990</v>
          </cell>
          <cell r="F60">
            <v>26458174</v>
          </cell>
          <cell r="G60">
            <v>49826586</v>
          </cell>
          <cell r="H60">
            <v>68884268</v>
          </cell>
        </row>
        <row r="61">
          <cell r="A61" t="str">
            <v>03.543</v>
          </cell>
          <cell r="B61" t="str">
            <v>Komple keçiayağı silindirin 1 saatlik ücreti(1 çift tamburlu) (Takriben 40 DHP paletli traktör, çekici ve tamburların toplam ağırlığı asgari 4000 kg. olan, beheri en az 1.20 m. uzunlukta iki tamburlu)</v>
          </cell>
          <cell r="C61" t="str">
            <v>SA</v>
          </cell>
          <cell r="E61">
            <v>5477593</v>
          </cell>
          <cell r="F61">
            <v>7209001</v>
          </cell>
          <cell r="G61">
            <v>12763155</v>
          </cell>
          <cell r="H61">
            <v>17647511</v>
          </cell>
        </row>
        <row r="62">
          <cell r="A62" t="str">
            <v>03.543/1</v>
          </cell>
          <cell r="B62" t="str">
            <v>Keçiayağı silindirin 1 saatlik ücreti (2 çift tamburlu) (Takriben 70 DHP paletli traktör, çekici ve tamburların toplam ağırlığı asgari 8000 kg. olan, Poz 03.543 deki evsafta 4 tamburlu)</v>
          </cell>
          <cell r="C62" t="str">
            <v>SA</v>
          </cell>
          <cell r="E62">
            <v>8764148</v>
          </cell>
          <cell r="F62">
            <v>11534401</v>
          </cell>
          <cell r="G62">
            <v>20421048</v>
          </cell>
          <cell r="H62">
            <v>28236017</v>
          </cell>
        </row>
        <row r="63">
          <cell r="A63" t="str">
            <v>03.543/2</v>
          </cell>
          <cell r="B63" t="str">
            <v>Keçiayağı silindirin 1 saatlik ücreti (3 çift tamburlu) (Takriben 100 DHP paletli traktör, çekici ve tamburların toplam ağırlığı asgari 12000 kg. olan, Poz 03.543 deki evsafta 6 tamburlu)</v>
          </cell>
          <cell r="C63" t="str">
            <v>SA</v>
          </cell>
          <cell r="E63">
            <v>11502945</v>
          </cell>
          <cell r="F63">
            <v>15138902</v>
          </cell>
          <cell r="G63">
            <v>26802625</v>
          </cell>
          <cell r="H63">
            <v>37059773</v>
          </cell>
        </row>
        <row r="64">
          <cell r="A64" t="str">
            <v>03.544</v>
          </cell>
          <cell r="B64" t="str">
            <v>Demir merdaneli silindirin 1 saatlik ücreti (40 DHP çekici+8-10 tonluk-10 ton dahil, 2-3 tekerlekli)</v>
          </cell>
          <cell r="C64" t="str">
            <v>SA</v>
          </cell>
          <cell r="E64">
            <v>5477593</v>
          </cell>
          <cell r="F64">
            <v>7209001</v>
          </cell>
          <cell r="G64">
            <v>12763155</v>
          </cell>
          <cell r="H64">
            <v>17647511</v>
          </cell>
        </row>
        <row r="65">
          <cell r="A65" t="str">
            <v>03.544/1</v>
          </cell>
          <cell r="B65" t="str">
            <v>Demir merdaneli silindirin 1 saatlik ücreti (60 DHP çekici + 10-14 tonluk-14 ton dahil, 2-3 tekerlekli)</v>
          </cell>
          <cell r="C65" t="str">
            <v>SA</v>
          </cell>
          <cell r="D65">
            <v>63259</v>
          </cell>
          <cell r="E65">
            <v>6948340</v>
          </cell>
          <cell r="F65">
            <v>9101251</v>
          </cell>
          <cell r="G65">
            <v>16488435</v>
          </cell>
          <cell r="H65">
            <v>22483211</v>
          </cell>
        </row>
        <row r="66">
          <cell r="A66" t="str">
            <v>03.545</v>
          </cell>
          <cell r="B66" t="str">
            <v>Lastik tekerlekli silindirin 1 saatlik ücreti (40 DHP çekici + 7-8 tonluk-8 ton dahil, çekicisi ile)</v>
          </cell>
          <cell r="C66" t="str">
            <v>SA</v>
          </cell>
          <cell r="D66">
            <v>49501</v>
          </cell>
          <cell r="E66">
            <v>5477593</v>
          </cell>
          <cell r="F66">
            <v>7209001</v>
          </cell>
          <cell r="G66">
            <v>12763155</v>
          </cell>
          <cell r="H66">
            <v>17647511</v>
          </cell>
        </row>
        <row r="67">
          <cell r="A67" t="str">
            <v>03.545/3</v>
          </cell>
          <cell r="B67" t="str">
            <v>Lastik tekerlekli silindirin 1 saatlik ücreti (Kendinden yürür 80-100 HP gücünde, 35 ton statik ağırlıkta)</v>
          </cell>
          <cell r="C67" t="str">
            <v>SA</v>
          </cell>
          <cell r="D67">
            <v>94551</v>
          </cell>
          <cell r="E67">
            <v>10166598</v>
          </cell>
          <cell r="F67">
            <v>13280142</v>
          </cell>
          <cell r="G67">
            <v>24415049</v>
          </cell>
          <cell r="H67">
            <v>33709964</v>
          </cell>
        </row>
        <row r="68">
          <cell r="A68" t="str">
            <v>03.545/4</v>
          </cell>
          <cell r="B68" t="str">
            <v>Lastik tekerlekli traktörün 1 saatlik ücreti (Ziraat işlerinde kullanılan)(Takriben 45 HP gücünde, pulluk ve diskleri ile birlikte)</v>
          </cell>
          <cell r="C68" t="str">
            <v>SA</v>
          </cell>
          <cell r="E68">
            <v>5195938</v>
          </cell>
          <cell r="F68">
            <v>6805116</v>
          </cell>
          <cell r="G68">
            <v>12274077</v>
          </cell>
          <cell r="H68">
            <v>17234232</v>
          </cell>
        </row>
        <row r="69">
          <cell r="A69" t="str">
            <v>03.554/1</v>
          </cell>
          <cell r="B69" t="str">
            <v>Süpürge makinesinin (Vakumlu) 1 saatlik ücreti (Takriben 130 HP + 81 HP gücünde)</v>
          </cell>
          <cell r="C69" t="str">
            <v>SA</v>
          </cell>
          <cell r="E69">
            <v>22064609</v>
          </cell>
          <cell r="F69">
            <v>28967871</v>
          </cell>
          <cell r="G69">
            <v>52028997</v>
          </cell>
          <cell r="H69">
            <v>71451342</v>
          </cell>
        </row>
        <row r="70">
          <cell r="A70" t="str">
            <v>03.554/2A</v>
          </cell>
          <cell r="B70" t="str">
            <v>Termoplastik yol çizgi makinesinin ve ısıtıcısının 1 saatlik ücreti (175 HP gücünde kamyon, 60 HP gücünde 125 Cfm lik kompresör)</v>
          </cell>
          <cell r="C70" t="str">
            <v>SA</v>
          </cell>
          <cell r="E70">
            <v>37486773</v>
          </cell>
          <cell r="F70">
            <v>49176694</v>
          </cell>
          <cell r="G70">
            <v>88936630</v>
          </cell>
          <cell r="H70">
            <v>121119915</v>
          </cell>
        </row>
        <row r="71">
          <cell r="A71" t="str">
            <v>03.554/3</v>
          </cell>
          <cell r="B71" t="str">
            <v>Soğuk yol çizgi makinesinin 1 saatlik ücreti (168 HP gücünde kamyon, 24 HP gücünde 85 Cfm lik kompresör)</v>
          </cell>
          <cell r="C71" t="str">
            <v>SA</v>
          </cell>
          <cell r="E71">
            <v>25404896</v>
          </cell>
          <cell r="F71">
            <v>33552412</v>
          </cell>
          <cell r="G71">
            <v>58600222</v>
          </cell>
          <cell r="H71">
            <v>79982904</v>
          </cell>
        </row>
        <row r="72">
          <cell r="A72" t="str">
            <v>03.554/4</v>
          </cell>
          <cell r="B72" t="str">
            <v>Termoplastik boya ön ısıtıcısının 1 saatlik ücreti (175 HP gücünde kamyon ve üzerindeki ısıtma ile karıştırma tertibatlı)</v>
          </cell>
          <cell r="C72" t="str">
            <v>SA</v>
          </cell>
          <cell r="E72">
            <v>30895708</v>
          </cell>
          <cell r="F72">
            <v>40511920</v>
          </cell>
          <cell r="G72">
            <v>73329010</v>
          </cell>
          <cell r="H72">
            <v>100262640</v>
          </cell>
        </row>
        <row r="73">
          <cell r="A73" t="str">
            <v>03.568/2</v>
          </cell>
          <cell r="B73" t="str">
            <v>Fore kazık delgi makinesinin 1 saatlik ücreti (1 yd3 lük ve takriben 100 HP gücünde ekskavatör + takriben 86 HP gücünde benoto tip 5 model veya emsali, iksa borusu vs. avadanlıkları ile birlikte)</v>
          </cell>
          <cell r="C73" t="str">
            <v>SA</v>
          </cell>
          <cell r="D73">
            <v>204782</v>
          </cell>
          <cell r="E73">
            <v>21395297</v>
          </cell>
          <cell r="F73">
            <v>28017060</v>
          </cell>
          <cell r="G73">
            <v>51055710</v>
          </cell>
          <cell r="H73">
            <v>100262640</v>
          </cell>
        </row>
        <row r="74">
          <cell r="A74" t="str">
            <v>03.570</v>
          </cell>
          <cell r="B74" t="str">
            <v>Otomatik beton santralının 1 saatlik ücreti (40 HP gücünde)</v>
          </cell>
          <cell r="C74" t="str">
            <v>SA</v>
          </cell>
          <cell r="E74">
            <v>8996690</v>
          </cell>
          <cell r="F74">
            <v>12244848</v>
          </cell>
          <cell r="G74">
            <v>20180576</v>
          </cell>
          <cell r="H74">
            <v>25709070</v>
          </cell>
        </row>
        <row r="75">
          <cell r="A75" t="str">
            <v>03.570/1</v>
          </cell>
          <cell r="B75" t="str">
            <v>Prefabrik beton plak, parke yapma tesisinin 1 saatlik ücreti</v>
          </cell>
          <cell r="C75" t="str">
            <v>SA</v>
          </cell>
          <cell r="E75">
            <v>38874400</v>
          </cell>
          <cell r="F75">
            <v>52684598</v>
          </cell>
          <cell r="G75">
            <v>85598424</v>
          </cell>
          <cell r="H75">
            <v>100262640</v>
          </cell>
        </row>
        <row r="76">
          <cell r="A76" t="str">
            <v>03.570/2</v>
          </cell>
          <cell r="B76" t="str">
            <v>Asfalt kazıma makinesinin 1 saatlik ücreti (400 HP gücünde, max. 2.05 m. freze genişliğinde, 0.15 m. freze derinliğinde, konveyörlü)</v>
          </cell>
          <cell r="C76" t="str">
            <v>SA</v>
          </cell>
          <cell r="E76">
            <v>100821534</v>
          </cell>
          <cell r="F76">
            <v>134243771</v>
          </cell>
          <cell r="G76">
            <v>228380998</v>
          </cell>
          <cell r="H76">
            <v>107657750</v>
          </cell>
        </row>
        <row r="77">
          <cell r="A77" t="str">
            <v>03.572/3</v>
          </cell>
          <cell r="B77" t="str">
            <v>Kablo germe makinesinin 1 saatlik ücreti (Öngerilmeli betonlarda)</v>
          </cell>
          <cell r="C77" t="str">
            <v>SA</v>
          </cell>
          <cell r="E77">
            <v>1089869</v>
          </cell>
          <cell r="F77">
            <v>1474500</v>
          </cell>
          <cell r="G77">
            <v>2339700</v>
          </cell>
          <cell r="H77">
            <v>3201650</v>
          </cell>
        </row>
        <row r="78">
          <cell r="A78" t="str">
            <v>03.572/3-B</v>
          </cell>
          <cell r="B78" t="str">
            <v>Önçekim öngerilmeli betonlarda kablo germe makinesinin 1 saatlik ücreti (Germe, gevşetme ve kesme makineleri ile pompa ve aksesuarları dahil komple)</v>
          </cell>
          <cell r="C78" t="str">
            <v>SA</v>
          </cell>
          <cell r="E78">
            <v>19636890</v>
          </cell>
          <cell r="F78">
            <v>26513150</v>
          </cell>
          <cell r="G78">
            <v>44905060</v>
          </cell>
          <cell r="H78">
            <v>56408450</v>
          </cell>
        </row>
        <row r="79">
          <cell r="A79" t="str">
            <v>03.573</v>
          </cell>
          <cell r="B79" t="str">
            <v>5 Kw jeneratör grubunun 1 saatlik ücreti (7.5 HP benzin motoru ile akuple portatif veya seyyar)</v>
          </cell>
          <cell r="C79" t="str">
            <v>SA</v>
          </cell>
          <cell r="E79">
            <v>2320553</v>
          </cell>
          <cell r="F79">
            <v>3015679</v>
          </cell>
          <cell r="G79">
            <v>5056996</v>
          </cell>
          <cell r="H79">
            <v>7114488</v>
          </cell>
        </row>
        <row r="80">
          <cell r="A80" t="str">
            <v>03.578</v>
          </cell>
          <cell r="B80" t="str">
            <v>Lastik tekerlekli motorlu bahçe el traktörünün 1 saatlik ücreti (Çim biçme tertibatlı) (11 HP gücünde)</v>
          </cell>
          <cell r="C80" t="str">
            <v>SA</v>
          </cell>
          <cell r="E80">
            <v>1660632</v>
          </cell>
          <cell r="F80">
            <v>2190560</v>
          </cell>
          <cell r="G80">
            <v>3817820</v>
          </cell>
        </row>
        <row r="81">
          <cell r="A81" t="str">
            <v>03.587</v>
          </cell>
          <cell r="B81" t="str">
            <v>Vinç'in 1 saatlik ücreti (130 HP gücünde, 8-25 m. bum uzunluğunda ortalama 25 ton kaldırma kapasiteli lastik tekerlekli hidrolik vinc)</v>
          </cell>
          <cell r="C81" t="str">
            <v>SA</v>
          </cell>
          <cell r="E81">
            <v>22943856</v>
          </cell>
          <cell r="F81">
            <v>30368656</v>
          </cell>
          <cell r="G81">
            <v>52912632</v>
          </cell>
        </row>
        <row r="82">
          <cell r="A82" t="str">
            <v>04.008</v>
          </cell>
          <cell r="B82" t="str">
            <v>Portland Çimentosu (TS19, PÇ 32.5) (Torba) - Fabrikada</v>
          </cell>
          <cell r="C82" t="str">
            <v>TN</v>
          </cell>
          <cell r="H82">
            <v>69600000</v>
          </cell>
        </row>
        <row r="83">
          <cell r="A83" t="str">
            <v>04.008/1</v>
          </cell>
          <cell r="B83" t="str">
            <v>Portland Çimentosu (TS19, PÇ 32.5) (Dökme) - Fabrikada</v>
          </cell>
          <cell r="C83" t="str">
            <v>TN</v>
          </cell>
          <cell r="H83">
            <v>60000000</v>
          </cell>
        </row>
        <row r="84">
          <cell r="A84" t="str">
            <v>04.008/2</v>
          </cell>
          <cell r="B84" t="str">
            <v>Portland Çimentosu (TS19, PÇ 42.5) (Torbalı) - Fabrikada</v>
          </cell>
          <cell r="C84" t="str">
            <v>TN</v>
          </cell>
          <cell r="H84">
            <v>72000000</v>
          </cell>
        </row>
        <row r="85">
          <cell r="A85" t="str">
            <v>04.008/3</v>
          </cell>
          <cell r="B85" t="str">
            <v>Portland Çimentosu (TS19, PÇ 42.5) (Dökme) - Fabrikada</v>
          </cell>
          <cell r="C85" t="str">
            <v>TN</v>
          </cell>
          <cell r="H85">
            <v>69600000</v>
          </cell>
        </row>
        <row r="86">
          <cell r="A86" t="str">
            <v>04.008/4</v>
          </cell>
          <cell r="B86" t="str">
            <v>Portland Çimentosu (TS19, PÇ 52.5) (Dökme) - Fabrikada</v>
          </cell>
          <cell r="C86" t="str">
            <v>TN</v>
          </cell>
          <cell r="H86">
            <v>102000000</v>
          </cell>
        </row>
        <row r="87">
          <cell r="A87" t="str">
            <v>04.008/5</v>
          </cell>
          <cell r="B87" t="str">
            <v>Portland Çimentosu (TS12143, PKÇ/A 32.5R) (Torbalı) - Fabrikada</v>
          </cell>
          <cell r="C87" t="str">
            <v>TN</v>
          </cell>
          <cell r="H87">
            <v>62000000</v>
          </cell>
        </row>
        <row r="88">
          <cell r="A88" t="str">
            <v>04.008/6</v>
          </cell>
          <cell r="B88" t="str">
            <v>Portland Çimentosu (TS12143, PKÇ/B 32.5R) (Dökme) - Fabrikada</v>
          </cell>
          <cell r="C88" t="str">
            <v>TN</v>
          </cell>
          <cell r="H88">
            <v>60000000</v>
          </cell>
        </row>
        <row r="89">
          <cell r="A89" t="str">
            <v>04.008/7</v>
          </cell>
          <cell r="B89" t="str">
            <v>Portland Çimentosu (TS3646, EYÇ 32.5) (Torbalı) - Fabrikada</v>
          </cell>
          <cell r="C89" t="str">
            <v>TN</v>
          </cell>
          <cell r="H89">
            <v>55200000</v>
          </cell>
        </row>
        <row r="90">
          <cell r="A90" t="str">
            <v>04.008/8</v>
          </cell>
          <cell r="B90" t="str">
            <v>Portland Çimentosu (TS3646, EYÇ 32.5) (Dökme) - Fabrikada</v>
          </cell>
          <cell r="C90" t="str">
            <v>TN</v>
          </cell>
          <cell r="H90">
            <v>52000000</v>
          </cell>
        </row>
        <row r="91">
          <cell r="A91" t="str">
            <v>04.008/9</v>
          </cell>
          <cell r="B91" t="str">
            <v>Portland Çimentosu (TS10157, SDÇ 32.5) (Torbalı) - Fabrikada</v>
          </cell>
          <cell r="C91" t="str">
            <v>TN</v>
          </cell>
          <cell r="H91">
            <v>74400000</v>
          </cell>
        </row>
        <row r="92">
          <cell r="A92" t="str">
            <v>04.009</v>
          </cell>
          <cell r="B92" t="str">
            <v>Portland Çimentosu (TS10156, KÇ 32.5) (Torbalı) - Fabrikada</v>
          </cell>
          <cell r="C92" t="str">
            <v>TN</v>
          </cell>
          <cell r="H92">
            <v>50400000</v>
          </cell>
        </row>
        <row r="93">
          <cell r="A93" t="str">
            <v>04.009/1</v>
          </cell>
          <cell r="B93" t="str">
            <v>Portland Çimentosu (TS10156, KÇ 32.5) (Dökme) - Fabrikada</v>
          </cell>
          <cell r="C93" t="str">
            <v>TN</v>
          </cell>
          <cell r="H93">
            <v>48000000</v>
          </cell>
        </row>
        <row r="94">
          <cell r="A94" t="str">
            <v>04.010</v>
          </cell>
          <cell r="B94" t="str">
            <v>Portland Çimentosu (TS26, TÇ 32.5) (Torbalı) - Fabrikada</v>
          </cell>
          <cell r="C94" t="str">
            <v>TN</v>
          </cell>
          <cell r="H94">
            <v>48000000</v>
          </cell>
        </row>
        <row r="95">
          <cell r="A95" t="str">
            <v>04.010/1</v>
          </cell>
          <cell r="B95" t="str">
            <v>Portland Çimentosu (TS26, TÇ 32.5) (Dökme) - Fabrikada</v>
          </cell>
          <cell r="C95" t="str">
            <v>TN</v>
          </cell>
          <cell r="H95">
            <v>45600000</v>
          </cell>
        </row>
        <row r="96">
          <cell r="A96" t="str">
            <v>04.011</v>
          </cell>
          <cell r="B96" t="str">
            <v>Portland Çimentosu (TS20, CÇ 32.5) (Torbalı) - Fabrikada</v>
          </cell>
          <cell r="C96" t="str">
            <v>TN</v>
          </cell>
          <cell r="H96">
            <v>45600000</v>
          </cell>
        </row>
        <row r="97">
          <cell r="A97" t="str">
            <v>04.011/1</v>
          </cell>
          <cell r="B97" t="str">
            <v>Portland Çimentosu (TS20, CÇ 32.5) (Dökme) - Fabrikada</v>
          </cell>
          <cell r="C97" t="str">
            <v>TN</v>
          </cell>
          <cell r="H97">
            <v>43200000</v>
          </cell>
        </row>
        <row r="98">
          <cell r="A98" t="str">
            <v>04.012</v>
          </cell>
          <cell r="B98" t="str">
            <v>Portland Çimentosu (TS21, BPÇ 32.5) (Torbalı) - Fabrikada</v>
          </cell>
          <cell r="C98" t="str">
            <v>TN</v>
          </cell>
          <cell r="H98">
            <v>98400000</v>
          </cell>
        </row>
        <row r="99">
          <cell r="A99" t="str">
            <v>04.012/1</v>
          </cell>
          <cell r="B99" t="str">
            <v>Portland Çimentosu (TS21, BPÇ 32.5) (Dökme) - Fabrikada</v>
          </cell>
          <cell r="C99" t="str">
            <v>TN</v>
          </cell>
          <cell r="H99">
            <v>96000000</v>
          </cell>
        </row>
        <row r="100">
          <cell r="A100" t="str">
            <v>04.032</v>
          </cell>
          <cell r="B100" t="str">
            <v>Su</v>
          </cell>
          <cell r="C100" t="str">
            <v>TN</v>
          </cell>
          <cell r="D100">
            <v>5904</v>
          </cell>
          <cell r="G100">
            <v>1630500</v>
          </cell>
        </row>
        <row r="101">
          <cell r="A101" t="str">
            <v>04.109</v>
          </cell>
          <cell r="B101" t="str">
            <v>Mazot</v>
          </cell>
          <cell r="C101" t="str">
            <v>KG</v>
          </cell>
          <cell r="D101">
            <v>3205</v>
          </cell>
          <cell r="G101">
            <v>917000</v>
          </cell>
          <cell r="H101">
            <v>1296000</v>
          </cell>
        </row>
        <row r="102">
          <cell r="A102" t="str">
            <v>04.112</v>
          </cell>
          <cell r="B102" t="str">
            <v>Elektrik enerjisi</v>
          </cell>
          <cell r="C102" t="str">
            <v>KWH</v>
          </cell>
          <cell r="D102">
            <v>443</v>
          </cell>
          <cell r="G102">
            <v>130000</v>
          </cell>
          <cell r="H102">
            <v>155000</v>
          </cell>
        </row>
        <row r="103">
          <cell r="A103" t="str">
            <v>04.290/5</v>
          </cell>
          <cell r="B103" t="str">
            <v>Boru zati bedeli</v>
          </cell>
          <cell r="G103">
            <v>4438000</v>
          </cell>
        </row>
        <row r="104">
          <cell r="A104" t="str">
            <v>08.001/K</v>
          </cell>
          <cell r="B104" t="str">
            <v>El ile kum, çakıl hazırlanması (Tüvenan)</v>
          </cell>
          <cell r="C104" t="str">
            <v>M3</v>
          </cell>
          <cell r="E104">
            <v>2368800</v>
          </cell>
          <cell r="F104">
            <v>3199500</v>
          </cell>
          <cell r="G104">
            <v>4891500</v>
          </cell>
          <cell r="H104">
            <v>6948000</v>
          </cell>
        </row>
        <row r="105">
          <cell r="A105" t="str">
            <v>08.001/K-1</v>
          </cell>
          <cell r="B105" t="str">
            <v>Tüvenan kum veya çakıl temini</v>
          </cell>
          <cell r="C105" t="str">
            <v>M3</v>
          </cell>
          <cell r="E105">
            <v>2368800</v>
          </cell>
          <cell r="F105">
            <v>3199500</v>
          </cell>
          <cell r="G105">
            <v>4891500</v>
          </cell>
          <cell r="H105">
            <v>6948000</v>
          </cell>
        </row>
        <row r="106">
          <cell r="A106" t="str">
            <v>08.002/1-K</v>
          </cell>
          <cell r="B106" t="str">
            <v>Makine ile kil ve benzeri bağlayıcı malzemenin temini</v>
          </cell>
          <cell r="C106" t="str">
            <v>M3</v>
          </cell>
          <cell r="E106">
            <v>418855</v>
          </cell>
          <cell r="F106">
            <v>557438</v>
          </cell>
          <cell r="G106">
            <v>929885</v>
          </cell>
          <cell r="H106">
            <v>1294140</v>
          </cell>
        </row>
        <row r="107">
          <cell r="A107" t="str">
            <v>08.002/K</v>
          </cell>
          <cell r="B107" t="str">
            <v>El ile kil hazırlanması</v>
          </cell>
          <cell r="C107" t="str">
            <v>M3</v>
          </cell>
          <cell r="E107">
            <v>2895200</v>
          </cell>
          <cell r="F107">
            <v>3910500</v>
          </cell>
          <cell r="G107">
            <v>5978500</v>
          </cell>
          <cell r="H107">
            <v>8492000</v>
          </cell>
        </row>
        <row r="108">
          <cell r="A108" t="str">
            <v>08.003/K</v>
          </cell>
          <cell r="B108" t="str">
            <v>El ile kum veya kum-çakıl çıkarılması, elenmesi</v>
          </cell>
          <cell r="C108" t="str">
            <v>M3</v>
          </cell>
          <cell r="E108">
            <v>3948000</v>
          </cell>
          <cell r="F108">
            <v>5332500</v>
          </cell>
          <cell r="G108">
            <v>8152500</v>
          </cell>
          <cell r="H108">
            <v>11580000</v>
          </cell>
        </row>
        <row r="109">
          <cell r="A109" t="str">
            <v>08.003/K-1</v>
          </cell>
          <cell r="B109" t="str">
            <v>Elenmiş kum temini (Yıkama hariç)</v>
          </cell>
          <cell r="C109" t="str">
            <v>M3</v>
          </cell>
          <cell r="D109">
            <v>21430</v>
          </cell>
          <cell r="E109">
            <v>2873475</v>
          </cell>
          <cell r="F109">
            <v>3883258</v>
          </cell>
          <cell r="G109">
            <v>5918403</v>
          </cell>
          <cell r="H109">
            <v>8408239</v>
          </cell>
        </row>
        <row r="110">
          <cell r="A110" t="str">
            <v>08.003/K-2</v>
          </cell>
          <cell r="B110" t="str">
            <v>Elenmiş çakıl temini (Yıkama hariç)</v>
          </cell>
          <cell r="C110" t="str">
            <v>M3</v>
          </cell>
          <cell r="D110">
            <v>21430</v>
          </cell>
          <cell r="E110">
            <v>2873475</v>
          </cell>
          <cell r="F110">
            <v>3883258</v>
          </cell>
          <cell r="G110">
            <v>5918403</v>
          </cell>
          <cell r="H110">
            <v>8408239</v>
          </cell>
        </row>
        <row r="111">
          <cell r="A111" t="str">
            <v>08.004/K</v>
          </cell>
          <cell r="B111" t="str">
            <v>El ile elenmiş granülometrik kum hazırlanması</v>
          </cell>
          <cell r="C111" t="str">
            <v>M3</v>
          </cell>
          <cell r="E111">
            <v>4474400</v>
          </cell>
          <cell r="F111">
            <v>6043500</v>
          </cell>
          <cell r="G111">
            <v>9239500</v>
          </cell>
          <cell r="H111">
            <v>13124000</v>
          </cell>
        </row>
        <row r="112">
          <cell r="A112" t="str">
            <v>08.004/K-1</v>
          </cell>
          <cell r="B112" t="str">
            <v>Granülometrik kum temini (Yıkama hariç)</v>
          </cell>
          <cell r="C112" t="str">
            <v>M3</v>
          </cell>
          <cell r="D112">
            <v>25366</v>
          </cell>
          <cell r="E112">
            <v>3399875</v>
          </cell>
          <cell r="F112">
            <v>4594258</v>
          </cell>
          <cell r="G112">
            <v>7005403</v>
          </cell>
          <cell r="H112">
            <v>9952239</v>
          </cell>
        </row>
        <row r="113">
          <cell r="A113" t="str">
            <v>08.005/K</v>
          </cell>
          <cell r="B113" t="str">
            <v>El ile elenmiş granülometrik çakıl hazırlanması</v>
          </cell>
          <cell r="C113" t="str">
            <v>M3</v>
          </cell>
          <cell r="E113">
            <v>5000800</v>
          </cell>
          <cell r="F113">
            <v>6754500</v>
          </cell>
          <cell r="G113">
            <v>10326500</v>
          </cell>
          <cell r="H113">
            <v>14668000</v>
          </cell>
        </row>
        <row r="114">
          <cell r="A114" t="str">
            <v>08.005/K-1</v>
          </cell>
          <cell r="B114" t="str">
            <v>Granülometrik çakıl temini (Yıkama hariç)</v>
          </cell>
          <cell r="C114" t="str">
            <v>M3</v>
          </cell>
          <cell r="D114">
            <v>29302</v>
          </cell>
          <cell r="E114">
            <v>3926275</v>
          </cell>
          <cell r="F114">
            <v>5305258</v>
          </cell>
          <cell r="G114">
            <v>8092403</v>
          </cell>
          <cell r="H114">
            <v>11496239</v>
          </cell>
        </row>
        <row r="115">
          <cell r="A115" t="str">
            <v>08.006/K</v>
          </cell>
          <cell r="B115" t="str">
            <v>El ile mil kumu çıkarılması, elenmesi</v>
          </cell>
          <cell r="C115" t="str">
            <v>M3</v>
          </cell>
          <cell r="E115">
            <v>3948000</v>
          </cell>
          <cell r="F115">
            <v>5332500</v>
          </cell>
          <cell r="G115">
            <v>8152500</v>
          </cell>
          <cell r="H115">
            <v>11580000</v>
          </cell>
        </row>
        <row r="116">
          <cell r="A116" t="str">
            <v>08.006/K-1</v>
          </cell>
          <cell r="B116" t="str">
            <v>Mil kumu temini</v>
          </cell>
          <cell r="C116" t="str">
            <v>M3</v>
          </cell>
          <cell r="E116">
            <v>3948000</v>
          </cell>
          <cell r="F116">
            <v>5332500</v>
          </cell>
          <cell r="G116">
            <v>8152500</v>
          </cell>
          <cell r="H116">
            <v>11580000</v>
          </cell>
        </row>
        <row r="117">
          <cell r="A117" t="str">
            <v>08.007/K</v>
          </cell>
          <cell r="B117" t="str">
            <v>El ile kum ve çakıl yıkanması</v>
          </cell>
          <cell r="C117" t="str">
            <v>M3</v>
          </cell>
          <cell r="E117">
            <v>1079956</v>
          </cell>
          <cell r="F117">
            <v>1456052</v>
          </cell>
          <cell r="G117">
            <v>2249121</v>
          </cell>
          <cell r="H117">
            <v>3192701</v>
          </cell>
        </row>
        <row r="118">
          <cell r="A118" t="str">
            <v>08.008</v>
          </cell>
          <cell r="B118" t="str">
            <v>Makine ile kum, çakıl hazırlanması (Tüvenan)</v>
          </cell>
          <cell r="C118" t="str">
            <v>M3</v>
          </cell>
          <cell r="E118">
            <v>335084</v>
          </cell>
          <cell r="F118">
            <v>445951</v>
          </cell>
          <cell r="G118">
            <v>743908</v>
          </cell>
          <cell r="H118">
            <v>1035312</v>
          </cell>
        </row>
        <row r="119">
          <cell r="A119" t="str">
            <v>08.009</v>
          </cell>
          <cell r="B119" t="str">
            <v>Makine ile elenmiş kum,çakıl (Granülometrik) hazırlanması</v>
          </cell>
          <cell r="C119" t="str">
            <v>M3</v>
          </cell>
          <cell r="E119">
            <v>961931</v>
          </cell>
          <cell r="F119">
            <v>1277868</v>
          </cell>
          <cell r="G119">
            <v>2147143</v>
          </cell>
          <cell r="H119">
            <v>3002304</v>
          </cell>
        </row>
        <row r="120">
          <cell r="A120" t="str">
            <v>08.010/K</v>
          </cell>
          <cell r="B120" t="str">
            <v>Profilli demirden "Kazık çarığı, mesnet ve teferruatı, bordür kenarı ve ayrım demiri ile ahşap menfez ve köprülerde madeni birleştirme unsurları" işçiliği (Boyama hariç)</v>
          </cell>
          <cell r="C120" t="str">
            <v>TN</v>
          </cell>
          <cell r="E120">
            <v>639293750</v>
          </cell>
          <cell r="F120">
            <v>865837500</v>
          </cell>
          <cell r="G120">
            <v>1342687500</v>
          </cell>
          <cell r="H120">
            <v>1895562500</v>
          </cell>
        </row>
        <row r="121">
          <cell r="A121" t="str">
            <v>08.021/K</v>
          </cell>
          <cell r="B121" t="str">
            <v>El ile veya kompresörle ocaktan taş hazırlanması</v>
          </cell>
          <cell r="C121" t="str">
            <v>M3</v>
          </cell>
          <cell r="D121">
            <v>21735</v>
          </cell>
          <cell r="E121">
            <v>2730273</v>
          </cell>
          <cell r="F121">
            <v>3667903</v>
          </cell>
          <cell r="G121">
            <v>5868704</v>
          </cell>
          <cell r="H121">
            <v>8245441</v>
          </cell>
        </row>
        <row r="122">
          <cell r="A122" t="str">
            <v>08.022/K</v>
          </cell>
          <cell r="B122" t="str">
            <v>Ocak taşından konkasörle kırılmış ve elenmiş 70 mm. ye kadar kırmataş hazırlanması</v>
          </cell>
          <cell r="C122" t="str">
            <v>M3</v>
          </cell>
          <cell r="E122">
            <v>3770688</v>
          </cell>
          <cell r="F122">
            <v>5027396</v>
          </cell>
          <cell r="G122">
            <v>8263695</v>
          </cell>
          <cell r="H122">
            <v>11527659</v>
          </cell>
          <cell r="I122">
            <v>13405238</v>
          </cell>
        </row>
        <row r="123">
          <cell r="A123" t="str">
            <v>08.023/K</v>
          </cell>
          <cell r="B123" t="str">
            <v>Ocak taşından konkasörle kırılmış ve elenmiş 30 mm. ye kadar kırmataş hazırlanması</v>
          </cell>
          <cell r="C123" t="str">
            <v>M3</v>
          </cell>
          <cell r="D123">
            <v>35413</v>
          </cell>
          <cell r="E123">
            <v>4267267</v>
          </cell>
          <cell r="F123">
            <v>5690816</v>
          </cell>
          <cell r="G123">
            <v>9343543</v>
          </cell>
          <cell r="H123">
            <v>13043190</v>
          </cell>
        </row>
        <row r="124">
          <cell r="A124" t="str">
            <v>08.024/K</v>
          </cell>
          <cell r="B124" t="str">
            <v>Kazı taşından taş hazırlanması</v>
          </cell>
          <cell r="C124" t="str">
            <v>M3</v>
          </cell>
          <cell r="E124">
            <v>1537585</v>
          </cell>
          <cell r="F124">
            <v>2089401</v>
          </cell>
          <cell r="G124">
            <v>3165847</v>
          </cell>
          <cell r="H124">
            <v>4529898</v>
          </cell>
        </row>
        <row r="125">
          <cell r="A125" t="str">
            <v>08.025/K</v>
          </cell>
          <cell r="B125" t="str">
            <v>Toplama suretiyle taş hazırlanması</v>
          </cell>
          <cell r="C125" t="str">
            <v>M3</v>
          </cell>
          <cell r="E125">
            <v>2803520</v>
          </cell>
          <cell r="F125">
            <v>3787000</v>
          </cell>
          <cell r="G125">
            <v>5791000</v>
          </cell>
          <cell r="H125">
            <v>8224000</v>
          </cell>
        </row>
        <row r="126">
          <cell r="A126" t="str">
            <v>08.026/K</v>
          </cell>
          <cell r="B126" t="str">
            <v>Ocak taşından çaplanmış moloz taş hazırlanması</v>
          </cell>
          <cell r="C126" t="str">
            <v>M3</v>
          </cell>
          <cell r="E126">
            <v>9698187</v>
          </cell>
          <cell r="F126">
            <v>13065955</v>
          </cell>
          <cell r="G126">
            <v>20382606</v>
          </cell>
          <cell r="H126">
            <v>28809857</v>
          </cell>
        </row>
        <row r="127">
          <cell r="A127" t="str">
            <v>08.027/K</v>
          </cell>
          <cell r="B127" t="str">
            <v>Ocak taşından kemer inşaatı için çaplanmış moloz taş hazırlanması</v>
          </cell>
          <cell r="C127" t="str">
            <v>M3</v>
          </cell>
          <cell r="E127">
            <v>11942120</v>
          </cell>
          <cell r="F127">
            <v>16091456</v>
          </cell>
          <cell r="G127">
            <v>25073574</v>
          </cell>
          <cell r="H127">
            <v>35452354</v>
          </cell>
        </row>
        <row r="128">
          <cell r="A128" t="str">
            <v>08.028/K</v>
          </cell>
          <cell r="B128" t="str">
            <v>Kazı taşından çaplanmış moloz taş hazırlanması</v>
          </cell>
          <cell r="C128" t="str">
            <v>M3</v>
          </cell>
          <cell r="E128">
            <v>7942705</v>
          </cell>
          <cell r="F128">
            <v>10738401</v>
          </cell>
          <cell r="G128">
            <v>16392847</v>
          </cell>
          <cell r="H128">
            <v>23315898</v>
          </cell>
        </row>
        <row r="129">
          <cell r="A129" t="str">
            <v>08.029/K</v>
          </cell>
          <cell r="B129" t="str">
            <v>Kazı taşından kemer inşaatı için çaplanmış moloz taş hazırlanması</v>
          </cell>
          <cell r="C129" t="str">
            <v>M3</v>
          </cell>
          <cell r="E129">
            <v>9551345</v>
          </cell>
          <cell r="F129">
            <v>17447409</v>
          </cell>
          <cell r="G129">
            <v>19714847</v>
          </cell>
          <cell r="H129">
            <v>28033898</v>
          </cell>
        </row>
        <row r="130">
          <cell r="A130" t="str">
            <v>08.030/K</v>
          </cell>
          <cell r="B130" t="str">
            <v>Ocak taşından yonu taşı taslağı hazırlanması</v>
          </cell>
          <cell r="C130" t="str">
            <v>M3</v>
          </cell>
          <cell r="E130">
            <v>12954971</v>
          </cell>
          <cell r="F130">
            <v>17447409</v>
          </cell>
          <cell r="G130">
            <v>27276594</v>
          </cell>
          <cell r="H130">
            <v>38532128</v>
          </cell>
        </row>
        <row r="131">
          <cell r="A131" t="str">
            <v>08.031/K</v>
          </cell>
          <cell r="B131" t="str">
            <v>Ocak taşından özel yonu taşı taslağı hazırlanması</v>
          </cell>
          <cell r="C131" t="str">
            <v>M3</v>
          </cell>
          <cell r="E131">
            <v>16198571</v>
          </cell>
          <cell r="F131">
            <v>21826959</v>
          </cell>
          <cell r="G131">
            <v>33974944</v>
          </cell>
          <cell r="H131">
            <v>48045328</v>
          </cell>
        </row>
        <row r="132">
          <cell r="A132" t="str">
            <v>08.032/K</v>
          </cell>
          <cell r="B132" t="str">
            <v>Ocak taşından kaba yonu taşı hazırlanması</v>
          </cell>
          <cell r="C132" t="str">
            <v>M3</v>
          </cell>
          <cell r="E132">
            <v>24884662</v>
          </cell>
          <cell r="F132">
            <v>33541631</v>
          </cell>
          <cell r="G132">
            <v>52069572</v>
          </cell>
          <cell r="H132">
            <v>73681766</v>
          </cell>
        </row>
        <row r="133">
          <cell r="A133" t="str">
            <v>08.033/K</v>
          </cell>
          <cell r="B133" t="str">
            <v>Ocak taşından özel kaba yonu taşı hazırlanması</v>
          </cell>
          <cell r="C133" t="str">
            <v>M3</v>
          </cell>
          <cell r="E133">
            <v>33134159</v>
          </cell>
          <cell r="F133">
            <v>44675742</v>
          </cell>
          <cell r="G133">
            <v>69157921</v>
          </cell>
          <cell r="H133">
            <v>97930459</v>
          </cell>
        </row>
        <row r="134">
          <cell r="A134" t="str">
            <v>08.034/K</v>
          </cell>
          <cell r="B134" t="str">
            <v>Ocak taşından ince yonu taşı hazırlanması</v>
          </cell>
          <cell r="C134" t="str">
            <v>M3</v>
          </cell>
          <cell r="E134">
            <v>38244959</v>
          </cell>
          <cell r="F134">
            <v>51576372</v>
          </cell>
          <cell r="G134">
            <v>79712231</v>
          </cell>
          <cell r="H134">
            <v>112919979</v>
          </cell>
        </row>
        <row r="135">
          <cell r="A135" t="str">
            <v>08.035/K</v>
          </cell>
          <cell r="B135" t="str">
            <v>Ocak taşından özel ince yonu taşı hazırlanması</v>
          </cell>
          <cell r="C135" t="str">
            <v>M3</v>
          </cell>
          <cell r="E135">
            <v>50829199</v>
          </cell>
          <cell r="F135">
            <v>68567742</v>
          </cell>
          <cell r="G135">
            <v>105699921</v>
          </cell>
          <cell r="H135">
            <v>149828459</v>
          </cell>
        </row>
        <row r="136">
          <cell r="A136" t="str">
            <v>08.036/K</v>
          </cell>
          <cell r="B136" t="str">
            <v>Ocak taşından kesme taş hazırlanması</v>
          </cell>
          <cell r="C136" t="str">
            <v>M3</v>
          </cell>
          <cell r="E136">
            <v>68987153</v>
          </cell>
          <cell r="F136">
            <v>93075854</v>
          </cell>
          <cell r="G136">
            <v>143302550</v>
          </cell>
          <cell r="H136">
            <v>203191404</v>
          </cell>
        </row>
        <row r="137">
          <cell r="A137" t="str">
            <v>08.040/K</v>
          </cell>
          <cell r="B137" t="str">
            <v>Ø 10 cm. iç çapında 400 dozlu beton büz yapılması (Cidar kalınlığı 2,5 cm.)</v>
          </cell>
          <cell r="C137" t="str">
            <v>MT</v>
          </cell>
          <cell r="E137">
            <v>849307</v>
          </cell>
          <cell r="F137">
            <v>1146819</v>
          </cell>
          <cell r="G137">
            <v>1755471</v>
          </cell>
          <cell r="H137">
            <v>2492859</v>
          </cell>
        </row>
        <row r="138">
          <cell r="A138" t="str">
            <v>08.044/K</v>
          </cell>
          <cell r="B138" t="str">
            <v>Ø 15 cm. iç çapında 400 dozlu beton büz yapılması (Cidar kalınlığı 3 cm.)</v>
          </cell>
          <cell r="C138" t="str">
            <v>MT</v>
          </cell>
          <cell r="E138">
            <v>983939</v>
          </cell>
          <cell r="F138">
            <v>1328675</v>
          </cell>
          <cell r="G138">
            <v>2033363</v>
          </cell>
          <cell r="H138">
            <v>2887590</v>
          </cell>
        </row>
        <row r="139">
          <cell r="A139" t="str">
            <v>08.048/K</v>
          </cell>
          <cell r="B139" t="str">
            <v>Ø 20 cm. iç çapında 400 dozlu beton büz yapılması (Cidar kalınlığı 3,5 cm.)</v>
          </cell>
          <cell r="C139" t="str">
            <v>MT</v>
          </cell>
          <cell r="E139">
            <v>1111111</v>
          </cell>
          <cell r="F139">
            <v>1500393</v>
          </cell>
          <cell r="G139">
            <v>2296271</v>
          </cell>
          <cell r="H139">
            <v>3260893</v>
          </cell>
        </row>
        <row r="140">
          <cell r="A140" t="str">
            <v>08.052/K</v>
          </cell>
          <cell r="B140" t="str">
            <v>Ø 25 cm. iç çapında 400 dozlu beton büz yapılması (Cidar kalınlığı 4 cm.)</v>
          </cell>
          <cell r="C140" t="str">
            <v>MT</v>
          </cell>
          <cell r="E140">
            <v>1244522</v>
          </cell>
          <cell r="F140">
            <v>1680515</v>
          </cell>
          <cell r="G140">
            <v>2572208</v>
          </cell>
          <cell r="H140">
            <v>3652642</v>
          </cell>
        </row>
        <row r="141">
          <cell r="A141" t="str">
            <v>08.056/K</v>
          </cell>
          <cell r="B141" t="str">
            <v>Ø 30 cm. iç çapında 400 dozlu beton büz yapılması (Cidar kalınlığı 4,5 cm.)</v>
          </cell>
          <cell r="C141" t="str">
            <v>MT</v>
          </cell>
          <cell r="E141">
            <v>1597997</v>
          </cell>
          <cell r="F141">
            <v>2157882</v>
          </cell>
          <cell r="G141">
            <v>3302543</v>
          </cell>
          <cell r="H141">
            <v>4689830</v>
          </cell>
        </row>
        <row r="142">
          <cell r="A142" t="str">
            <v>08.060/K</v>
          </cell>
          <cell r="B142" t="str">
            <v>Ø 35 cm. iç çapında 400 dozlu beton büz yapılması (Cidar kalınlığı 5 cm.)</v>
          </cell>
          <cell r="C142" t="str">
            <v>MT</v>
          </cell>
          <cell r="E142">
            <v>1845142</v>
          </cell>
          <cell r="F142">
            <v>2491625</v>
          </cell>
          <cell r="G142">
            <v>3813302</v>
          </cell>
          <cell r="H142">
            <v>5415133</v>
          </cell>
        </row>
        <row r="143">
          <cell r="A143" t="str">
            <v>08.064/K</v>
          </cell>
          <cell r="B143" t="str">
            <v>Ø 40 cm. iç çapında 400 dozlu beton büz yapılması (Cidar kalınlığı 5,5 cm.)</v>
          </cell>
          <cell r="C143" t="str">
            <v>MT</v>
          </cell>
          <cell r="E143">
            <v>2071677</v>
          </cell>
          <cell r="F143">
            <v>2797520</v>
          </cell>
          <cell r="G143">
            <v>4281445</v>
          </cell>
          <cell r="H143">
            <v>6079890</v>
          </cell>
        </row>
        <row r="144">
          <cell r="A144" t="str">
            <v>08.068/K</v>
          </cell>
          <cell r="B144" t="str">
            <v>Ø 50 cm. iç çapında 400 dozlu beton büz yapılması (Cidar kalınlığı 6,5 cm.)</v>
          </cell>
          <cell r="C144" t="str">
            <v>MT</v>
          </cell>
          <cell r="E144">
            <v>2582324</v>
          </cell>
          <cell r="F144">
            <v>3487218</v>
          </cell>
          <cell r="G144">
            <v>5335859</v>
          </cell>
          <cell r="H144">
            <v>7577444</v>
          </cell>
        </row>
        <row r="145">
          <cell r="A145" t="str">
            <v>08.072/K</v>
          </cell>
          <cell r="B145" t="str">
            <v>Ø 60 cm. iç çapında 400 dozlu beton büz yapılması (Cidar kalınlığı 7,5 cm.)</v>
          </cell>
          <cell r="C145" t="str">
            <v>MT</v>
          </cell>
          <cell r="E145">
            <v>3280760</v>
          </cell>
          <cell r="F145">
            <v>4430577</v>
          </cell>
          <cell r="G145">
            <v>6777944</v>
          </cell>
          <cell r="H145">
            <v>9625666</v>
          </cell>
        </row>
        <row r="146">
          <cell r="A146" t="str">
            <v>08.076/K</v>
          </cell>
          <cell r="B146" t="str">
            <v>Ø 80 cm. iç çapında 400 dozlu beton büz yapılması (Cidar kalınlığı 9,5 cm.)</v>
          </cell>
          <cell r="C146" t="str">
            <v>MT</v>
          </cell>
          <cell r="E146">
            <v>4934186</v>
          </cell>
          <cell r="F146">
            <v>6663837</v>
          </cell>
          <cell r="G146">
            <v>10191717</v>
          </cell>
          <cell r="H146">
            <v>14474391</v>
          </cell>
        </row>
        <row r="147">
          <cell r="A147" t="str">
            <v>08.080/K</v>
          </cell>
          <cell r="B147" t="str">
            <v>Ø 60 cm. iç çapında 400 dozlu özel beton büz yapılması (Cidar kalınlığı 9 cm.)</v>
          </cell>
          <cell r="C147" t="str">
            <v>MT</v>
          </cell>
          <cell r="E147">
            <v>4093196</v>
          </cell>
          <cell r="F147">
            <v>5527792</v>
          </cell>
          <cell r="G147">
            <v>8456071</v>
          </cell>
          <cell r="H147">
            <v>12008956</v>
          </cell>
        </row>
        <row r="148">
          <cell r="A148" t="str">
            <v>08.084/K</v>
          </cell>
          <cell r="B148" t="str">
            <v>Ø 80 cm. iç çapında 400 dozlu özel beton büz yapılması (Cidar kalınlığı 11 cm.)</v>
          </cell>
          <cell r="C148" t="str">
            <v>MT</v>
          </cell>
          <cell r="E148">
            <v>5717423</v>
          </cell>
          <cell r="F148">
            <v>7721658</v>
          </cell>
          <cell r="G148">
            <v>11809242</v>
          </cell>
          <cell r="H148">
            <v>16771611</v>
          </cell>
        </row>
        <row r="149">
          <cell r="A149" t="str">
            <v>08.088/K</v>
          </cell>
          <cell r="B149" t="str">
            <v>Ø 120 cm. iç çapında 400 dozlu özel beton büz yapılması (Cidar kalınlığı 15 cm.)</v>
          </cell>
          <cell r="C149" t="str">
            <v>MT</v>
          </cell>
          <cell r="E149">
            <v>9593665</v>
          </cell>
          <cell r="F149">
            <v>12957478</v>
          </cell>
          <cell r="G149">
            <v>19810369</v>
          </cell>
          <cell r="H149">
            <v>28136170</v>
          </cell>
        </row>
        <row r="150">
          <cell r="A150" t="str">
            <v>08.101</v>
          </cell>
          <cell r="B150" t="str">
            <v>Ocak taşından 0-0,005 ton kategorideki taşın hazırlanması</v>
          </cell>
          <cell r="C150" t="str">
            <v>M3</v>
          </cell>
          <cell r="E150">
            <v>774690</v>
          </cell>
          <cell r="F150">
            <v>1029828</v>
          </cell>
          <cell r="G150">
            <v>1791189</v>
          </cell>
          <cell r="H150">
            <v>2473709</v>
          </cell>
        </row>
        <row r="151">
          <cell r="A151" t="str">
            <v>08.101/1-K</v>
          </cell>
          <cell r="B151" t="str">
            <v>Kazı taşından 0-0,005 ton kategorideki taşın hazırlanması</v>
          </cell>
          <cell r="C151" t="str">
            <v>M3</v>
          </cell>
          <cell r="E151">
            <v>129457</v>
          </cell>
          <cell r="F151">
            <v>176025</v>
          </cell>
          <cell r="G151">
            <v>344089</v>
          </cell>
          <cell r="H151">
            <v>492215</v>
          </cell>
        </row>
        <row r="152">
          <cell r="A152" t="str">
            <v>08.103</v>
          </cell>
          <cell r="B152" t="str">
            <v>Ocak taşından 0,005-0,100 ton kategorideki taşın hazırlanması</v>
          </cell>
          <cell r="C152" t="str">
            <v>M3</v>
          </cell>
          <cell r="E152">
            <v>1293105</v>
          </cell>
          <cell r="F152">
            <v>1718132</v>
          </cell>
          <cell r="G152">
            <v>2955076</v>
          </cell>
          <cell r="H152">
            <v>4087672</v>
          </cell>
        </row>
        <row r="153">
          <cell r="A153" t="str">
            <v>08.103/1-K</v>
          </cell>
          <cell r="B153" t="str">
            <v>Kazı taşından 0,005-0,100 ton kategorideki taşın hazırlanması</v>
          </cell>
          <cell r="C153" t="str">
            <v>M3</v>
          </cell>
          <cell r="E153">
            <v>297213</v>
          </cell>
          <cell r="F153">
            <v>395250</v>
          </cell>
          <cell r="G153">
            <v>747224</v>
          </cell>
          <cell r="H153">
            <v>1044972</v>
          </cell>
        </row>
        <row r="154">
          <cell r="A154" t="str">
            <v>08.104/1-K</v>
          </cell>
          <cell r="B154" t="str">
            <v>Kazı taşından 0-0,250 ton kategorideki taşın hazırlanması</v>
          </cell>
          <cell r="C154" t="str">
            <v>M3</v>
          </cell>
          <cell r="E154">
            <v>339743</v>
          </cell>
          <cell r="F154">
            <v>450825</v>
          </cell>
          <cell r="G154">
            <v>849456</v>
          </cell>
          <cell r="H154">
            <v>1185141</v>
          </cell>
        </row>
        <row r="155">
          <cell r="A155" t="str">
            <v>08.104/K</v>
          </cell>
          <cell r="B155" t="str">
            <v>Ocak taşından 0-0,250 ton kategorideki taşın hazırlanması</v>
          </cell>
          <cell r="C155" t="str">
            <v>M3</v>
          </cell>
          <cell r="E155">
            <v>1401277</v>
          </cell>
          <cell r="F155">
            <v>1861658</v>
          </cell>
          <cell r="G155">
            <v>3198657</v>
          </cell>
          <cell r="H155">
            <v>4425272</v>
          </cell>
        </row>
        <row r="156">
          <cell r="A156" t="str">
            <v>08.105</v>
          </cell>
          <cell r="B156" t="str">
            <v>Ocak taşından 0,100-0,250 ton kategorideki taşın hazırlanması</v>
          </cell>
          <cell r="C156" t="str">
            <v>M3</v>
          </cell>
          <cell r="E156">
            <v>1449443</v>
          </cell>
          <cell r="F156">
            <v>1925244</v>
          </cell>
          <cell r="G156">
            <v>3309539</v>
          </cell>
          <cell r="H156">
            <v>4578381</v>
          </cell>
        </row>
        <row r="157">
          <cell r="A157" t="str">
            <v>08.105/1-K</v>
          </cell>
          <cell r="B157" t="str">
            <v>Kazı taşından 0,100-0,250 ton kategorideki taşın hazırlanması</v>
          </cell>
          <cell r="C157" t="str">
            <v>M3</v>
          </cell>
          <cell r="E157">
            <v>402355</v>
          </cell>
          <cell r="F157">
            <v>532650</v>
          </cell>
          <cell r="G157">
            <v>999908</v>
          </cell>
          <cell r="H157">
            <v>1391434</v>
          </cell>
        </row>
        <row r="158">
          <cell r="A158" t="str">
            <v>08.106/1-K</v>
          </cell>
          <cell r="B158" t="str">
            <v>Kazı taşından 0-0,400 ton kategorideki taşın hazırlanması</v>
          </cell>
          <cell r="C158" t="str">
            <v>M3</v>
          </cell>
          <cell r="E158">
            <v>444886</v>
          </cell>
          <cell r="F158">
            <v>588225</v>
          </cell>
          <cell r="G158">
            <v>1102139</v>
          </cell>
          <cell r="H158">
            <v>1531602</v>
          </cell>
        </row>
        <row r="159">
          <cell r="A159" t="str">
            <v>08.106/K</v>
          </cell>
          <cell r="B159" t="str">
            <v>Ocak taşından 0-0,400 ton kategorideki taşın hazırlanması</v>
          </cell>
          <cell r="C159" t="str">
            <v>M3</v>
          </cell>
          <cell r="E159">
            <v>1489035</v>
          </cell>
          <cell r="F159">
            <v>1977409</v>
          </cell>
          <cell r="G159">
            <v>3401465</v>
          </cell>
          <cell r="H159">
            <v>4705135</v>
          </cell>
        </row>
        <row r="160">
          <cell r="A160" t="str">
            <v>08.107</v>
          </cell>
          <cell r="B160" t="str">
            <v>Ocak taşından 0,250-0,400 ton kategorideki taşın hazırlanması</v>
          </cell>
          <cell r="C160" t="str">
            <v>M3</v>
          </cell>
          <cell r="E160">
            <v>1551075</v>
          </cell>
          <cell r="F160">
            <v>2058900</v>
          </cell>
          <cell r="G160">
            <v>3547404</v>
          </cell>
          <cell r="H160">
            <v>4905931</v>
          </cell>
        </row>
        <row r="161">
          <cell r="A161" t="str">
            <v>08.107/1-K</v>
          </cell>
          <cell r="B161" t="str">
            <v>Kazı taşından 0,250-0,400 ton kategorideki taşın hazırlanması</v>
          </cell>
          <cell r="C161" t="str">
            <v>M3</v>
          </cell>
          <cell r="E161">
            <v>507498</v>
          </cell>
          <cell r="F161">
            <v>670050</v>
          </cell>
          <cell r="G161">
            <v>1252591</v>
          </cell>
          <cell r="H161">
            <v>1737897</v>
          </cell>
        </row>
        <row r="162">
          <cell r="A162" t="str">
            <v>08.108/1-K</v>
          </cell>
          <cell r="B162" t="str">
            <v>Kazı taşından 0,400-2 ton kategorideki taşın hazırlanması</v>
          </cell>
          <cell r="C162" t="str">
            <v>M3</v>
          </cell>
          <cell r="E162">
            <v>592559</v>
          </cell>
          <cell r="F162">
            <v>781200</v>
          </cell>
          <cell r="G162">
            <v>1457054</v>
          </cell>
          <cell r="H162">
            <v>2018234</v>
          </cell>
        </row>
        <row r="163">
          <cell r="A163" t="str">
            <v>08.108/K</v>
          </cell>
          <cell r="B163" t="str">
            <v>Ocak taşından 0,400-2 ton kategorideki taşın hazırlanması</v>
          </cell>
          <cell r="C163" t="str">
            <v>M3</v>
          </cell>
          <cell r="E163">
            <v>1599239</v>
          </cell>
          <cell r="F163">
            <v>2122486</v>
          </cell>
          <cell r="G163">
            <v>3658287</v>
          </cell>
          <cell r="H163">
            <v>5059040</v>
          </cell>
        </row>
        <row r="164">
          <cell r="A164" t="str">
            <v>08.109/1-K</v>
          </cell>
          <cell r="B164" t="str">
            <v>Kazı taşından 2-6 ton kategorideki taşın hazırlanması</v>
          </cell>
          <cell r="C164" t="str">
            <v>M3</v>
          </cell>
          <cell r="E164">
            <v>827656</v>
          </cell>
          <cell r="F164">
            <v>1088401</v>
          </cell>
          <cell r="G164">
            <v>2022228</v>
          </cell>
          <cell r="H164">
            <v>2793115</v>
          </cell>
        </row>
        <row r="165">
          <cell r="A165" t="str">
            <v>08.109/K</v>
          </cell>
          <cell r="B165" t="str">
            <v>Ocak taşından 2-6 ton kategorideki taşın hazırlanması</v>
          </cell>
          <cell r="C165" t="str">
            <v>M3</v>
          </cell>
          <cell r="E165">
            <v>1995163</v>
          </cell>
          <cell r="F165">
            <v>2644142</v>
          </cell>
          <cell r="G165">
            <v>4577548</v>
          </cell>
          <cell r="H165">
            <v>6326576</v>
          </cell>
        </row>
        <row r="166">
          <cell r="A166" t="str">
            <v>08.110/1-K</v>
          </cell>
          <cell r="B166" t="str">
            <v>Kazı taşından 6-15 ton kategorideki taşın hazırlanması</v>
          </cell>
          <cell r="C166" t="str">
            <v>M3</v>
          </cell>
          <cell r="E166">
            <v>1040307</v>
          </cell>
          <cell r="F166">
            <v>1366278</v>
          </cell>
          <cell r="G166">
            <v>2533388</v>
          </cell>
          <cell r="H166">
            <v>3493956</v>
          </cell>
        </row>
        <row r="167">
          <cell r="A167" t="str">
            <v>08.110/K</v>
          </cell>
          <cell r="B167" t="str">
            <v>Ocak taşından 6-15 ton kategorideki taşın hazırlanması</v>
          </cell>
          <cell r="C167" t="str">
            <v>M3</v>
          </cell>
          <cell r="E167">
            <v>2476812</v>
          </cell>
          <cell r="F167">
            <v>3279998</v>
          </cell>
          <cell r="G167">
            <v>5686377</v>
          </cell>
          <cell r="H167">
            <v>7857670</v>
          </cell>
        </row>
        <row r="168">
          <cell r="A168" t="str">
            <v>08.111/1-K</v>
          </cell>
          <cell r="B168" t="str">
            <v>Kazı taşından 15 tondan yukarı kategorideki taşın hazırlanması</v>
          </cell>
          <cell r="C168" t="str">
            <v>M3</v>
          </cell>
          <cell r="E168">
            <v>1365195</v>
          </cell>
          <cell r="F168">
            <v>1790781</v>
          </cell>
          <cell r="G168">
            <v>3314611</v>
          </cell>
          <cell r="H168">
            <v>4565005</v>
          </cell>
        </row>
        <row r="169">
          <cell r="A169" t="str">
            <v>08.111/K</v>
          </cell>
          <cell r="B169" t="str">
            <v>Ocak taşından 15 tondan yukarı kategorideki taşın hazırlanması</v>
          </cell>
          <cell r="C169" t="str">
            <v>M3</v>
          </cell>
          <cell r="E169">
            <v>2915598</v>
          </cell>
          <cell r="F169">
            <v>3858754</v>
          </cell>
          <cell r="G169">
            <v>6700422</v>
          </cell>
          <cell r="H169">
            <v>9256986</v>
          </cell>
        </row>
        <row r="170">
          <cell r="A170" t="str">
            <v>08.112/K</v>
          </cell>
          <cell r="B170" t="str">
            <v>Ocak taşı artığının ocakta toplanması</v>
          </cell>
          <cell r="C170" t="str">
            <v>M3</v>
          </cell>
          <cell r="E170">
            <v>212649</v>
          </cell>
          <cell r="F170">
            <v>277875</v>
          </cell>
          <cell r="G170">
            <v>511159</v>
          </cell>
          <cell r="H170">
            <v>700839</v>
          </cell>
        </row>
        <row r="171">
          <cell r="A171" t="str">
            <v>08.533</v>
          </cell>
          <cell r="B171" t="str">
            <v>Motorlu tulumba ile su hazırlanması</v>
          </cell>
          <cell r="C171" t="str">
            <v>M3</v>
          </cell>
          <cell r="E171">
            <v>74365</v>
          </cell>
          <cell r="F171">
            <v>98342</v>
          </cell>
          <cell r="G171">
            <v>168797</v>
          </cell>
          <cell r="H171">
            <v>238161</v>
          </cell>
        </row>
        <row r="172">
          <cell r="A172" t="str">
            <v>10.005/K</v>
          </cell>
          <cell r="B172" t="str">
            <v>Her dozda çimento harcı hazırlanması</v>
          </cell>
          <cell r="C172" t="str">
            <v>M3</v>
          </cell>
          <cell r="E172">
            <v>4897483</v>
          </cell>
          <cell r="F172">
            <v>6617053</v>
          </cell>
          <cell r="G172">
            <v>10097918</v>
          </cell>
          <cell r="H172">
            <v>14344919</v>
          </cell>
        </row>
        <row r="173">
          <cell r="A173" t="str">
            <v>10.013/K</v>
          </cell>
          <cell r="B173" t="str">
            <v>Her dozda ince çimento harcı hazırlanması</v>
          </cell>
          <cell r="C173" t="str">
            <v>M3</v>
          </cell>
          <cell r="E173">
            <v>6019384</v>
          </cell>
          <cell r="F173">
            <v>8130285</v>
          </cell>
          <cell r="G173">
            <v>12429845</v>
          </cell>
          <cell r="H173">
            <v>17655640</v>
          </cell>
        </row>
        <row r="174">
          <cell r="A174" t="str">
            <v>10.022/K</v>
          </cell>
          <cell r="B174" t="str">
            <v>Her dozda çimento şerbeti hazırlanması</v>
          </cell>
          <cell r="C174" t="str">
            <v>M3</v>
          </cell>
          <cell r="E174">
            <v>2158240</v>
          </cell>
          <cell r="F174">
            <v>2915100</v>
          </cell>
          <cell r="G174">
            <v>4456700</v>
          </cell>
          <cell r="H174">
            <v>6330400</v>
          </cell>
        </row>
        <row r="175">
          <cell r="A175" t="str">
            <v>10.081/K</v>
          </cell>
          <cell r="B175" t="str">
            <v>Mozaik harcı hazırlanması</v>
          </cell>
          <cell r="C175" t="str">
            <v>M3</v>
          </cell>
          <cell r="E175">
            <v>6433680</v>
          </cell>
          <cell r="F175">
            <v>8113050</v>
          </cell>
          <cell r="G175">
            <v>12959800</v>
          </cell>
          <cell r="H175">
            <v>17792800</v>
          </cell>
        </row>
        <row r="176">
          <cell r="A176" t="str">
            <v>10.082/K</v>
          </cell>
          <cell r="B176" t="str">
            <v>Renkli mozaik harcı hazırlanması</v>
          </cell>
          <cell r="C176" t="str">
            <v>M3</v>
          </cell>
          <cell r="E176">
            <v>9513680</v>
          </cell>
          <cell r="F176">
            <v>12113050</v>
          </cell>
          <cell r="G176">
            <v>19559800</v>
          </cell>
          <cell r="H176">
            <v>26592800</v>
          </cell>
        </row>
        <row r="177">
          <cell r="A177" t="str">
            <v>14.001/K-1</v>
          </cell>
          <cell r="B177" t="str">
            <v>Yolların orta refüjlerindeki fazla toprakların elle kazılması ve kullanılması</v>
          </cell>
          <cell r="C177" t="str">
            <v>M2</v>
          </cell>
          <cell r="E177">
            <v>219818</v>
          </cell>
          <cell r="F177">
            <v>296912</v>
          </cell>
          <cell r="G177">
            <v>453950</v>
          </cell>
          <cell r="H177">
            <v>644775</v>
          </cell>
        </row>
        <row r="178">
          <cell r="A178" t="str">
            <v>14.001/K-A</v>
          </cell>
          <cell r="B178" t="str">
            <v>El ile yumuşak toprak kazılması ve kullanılması (Yarma ve yan ariyetten dolguya gidecek kazılarda)</v>
          </cell>
          <cell r="C178" t="str">
            <v>M3</v>
          </cell>
          <cell r="E178">
            <v>1479875</v>
          </cell>
          <cell r="F178">
            <v>1978750</v>
          </cell>
          <cell r="G178">
            <v>3049562</v>
          </cell>
          <cell r="H178">
            <v>4276875</v>
          </cell>
        </row>
        <row r="179">
          <cell r="A179" t="str">
            <v>14.001/K-B</v>
          </cell>
          <cell r="B179" t="str">
            <v>El ile yumuşak toprak  kazılması ve kullanılması (Ariyet ocağından getirilecek veya depoya gidecek kazılarda)</v>
          </cell>
          <cell r="C179" t="str">
            <v>M3</v>
          </cell>
          <cell r="E179">
            <v>1437125</v>
          </cell>
          <cell r="F179">
            <v>1926250</v>
          </cell>
          <cell r="G179">
            <v>2962937</v>
          </cell>
          <cell r="H179">
            <v>4168125</v>
          </cell>
        </row>
        <row r="180">
          <cell r="A180" t="str">
            <v>14.002/K-A</v>
          </cell>
          <cell r="B180" t="str">
            <v>El ile sert toprak kazılması ve kullanılması (Yarma ve yan ariyetten dolguya gidecek kazılarda)</v>
          </cell>
          <cell r="C180" t="str">
            <v>M3</v>
          </cell>
          <cell r="E180">
            <v>1874675</v>
          </cell>
          <cell r="F180">
            <v>2512000</v>
          </cell>
          <cell r="G180">
            <v>3864812</v>
          </cell>
          <cell r="H180">
            <v>5434875</v>
          </cell>
        </row>
        <row r="181">
          <cell r="A181" t="str">
            <v>14.002/K-B</v>
          </cell>
          <cell r="B181" t="str">
            <v>El ile sert toprak kazılması ve kullanılması (Ariyet ocağından getirilecek veya depoya gidecek kazılarda)</v>
          </cell>
          <cell r="C181" t="str">
            <v>M3</v>
          </cell>
          <cell r="E181">
            <v>1831925</v>
          </cell>
          <cell r="F181">
            <v>2459500</v>
          </cell>
          <cell r="G181">
            <v>3778187</v>
          </cell>
          <cell r="H181">
            <v>5326125</v>
          </cell>
        </row>
        <row r="182">
          <cell r="A182" t="str">
            <v>14.003/K-A</v>
          </cell>
          <cell r="B182" t="str">
            <v>El ile yumuşak küskülük kazılması ve kullanılması (Yarma ve yan ariyetten dolguya gidecek kazılarda)</v>
          </cell>
          <cell r="C182" t="str">
            <v>M3</v>
          </cell>
          <cell r="E182">
            <v>2302375</v>
          </cell>
          <cell r="F182">
            <v>3089687</v>
          </cell>
          <cell r="G182">
            <v>4748000</v>
          </cell>
          <cell r="H182">
            <v>6689375</v>
          </cell>
        </row>
        <row r="183">
          <cell r="A183" t="str">
            <v>14.003/K-B</v>
          </cell>
          <cell r="B183" t="str">
            <v>El ile yumuşak küskülük kazılması ve kullanılması (Ariyet ocağından getirilecek veya depoya gidecek kazılarda)</v>
          </cell>
          <cell r="C183" t="str">
            <v>M3</v>
          </cell>
          <cell r="E183">
            <v>2259625</v>
          </cell>
          <cell r="F183">
            <v>3037187</v>
          </cell>
          <cell r="G183">
            <v>4661375</v>
          </cell>
          <cell r="H183">
            <v>6580625</v>
          </cell>
        </row>
        <row r="184">
          <cell r="A184" t="str">
            <v>14.004/K-A</v>
          </cell>
          <cell r="B184" t="str">
            <v>El ile sert küskülük kazılması ve kullanılması (Yarma ve yan ariyetten dolguya gidecek kazılarda)</v>
          </cell>
          <cell r="C184" t="str">
            <v>M3</v>
          </cell>
          <cell r="E184">
            <v>2631375</v>
          </cell>
          <cell r="F184">
            <v>3534062</v>
          </cell>
          <cell r="G184">
            <v>5427375</v>
          </cell>
          <cell r="H184">
            <v>7654375</v>
          </cell>
        </row>
        <row r="185">
          <cell r="A185" t="str">
            <v>14.004/K-B</v>
          </cell>
          <cell r="B185" t="str">
            <v>El ile sert küskülük kazılması ve kullanılması (Ariyet ocağından getirilecek veya depoya gidecek kazılarda)</v>
          </cell>
          <cell r="C185" t="str">
            <v>M3</v>
          </cell>
          <cell r="E185">
            <v>2588625</v>
          </cell>
          <cell r="F185">
            <v>3481562</v>
          </cell>
          <cell r="G185">
            <v>5340750</v>
          </cell>
          <cell r="H185">
            <v>7545625</v>
          </cell>
        </row>
        <row r="186">
          <cell r="A186" t="str">
            <v>14.005/K-A</v>
          </cell>
          <cell r="B186" t="str">
            <v>Patlayıcı madde kullanılarak el veya kompresörle yumuşak kaya kazılması ve kullanılması (Yarma ve yan ariyetten dolguya gidecek kazılarda)</v>
          </cell>
          <cell r="C186" t="str">
            <v>M3</v>
          </cell>
          <cell r="E186">
            <v>2691851</v>
          </cell>
          <cell r="F186">
            <v>3594815</v>
          </cell>
          <cell r="G186">
            <v>5773878</v>
          </cell>
          <cell r="H186">
            <v>8053941</v>
          </cell>
        </row>
        <row r="187">
          <cell r="A187" t="str">
            <v>14.005/K-B</v>
          </cell>
          <cell r="B187" t="str">
            <v>Patlayıcı madde kullanılarak el veya kompresörle yumuşak kaya kazılması ve kullanılması (Ariyet ocağından getirilecek veya depoya gidecek kazılarda )</v>
          </cell>
          <cell r="C187" t="str">
            <v>M3</v>
          </cell>
          <cell r="E187">
            <v>2649101</v>
          </cell>
          <cell r="F187">
            <v>3542315</v>
          </cell>
          <cell r="G187">
            <v>5687253</v>
          </cell>
          <cell r="H187">
            <v>7945191</v>
          </cell>
        </row>
        <row r="188">
          <cell r="A188" t="str">
            <v>14.006/K-A</v>
          </cell>
          <cell r="B188" t="str">
            <v>Patlayıcı madde kullanılarak el veya kompresörle sert kaya kazılması ve kullanılması (Yarma ve yan ariyetten dolguya gidecek kazılarda)</v>
          </cell>
          <cell r="C188" t="str">
            <v>M3</v>
          </cell>
          <cell r="E188">
            <v>3236695</v>
          </cell>
          <cell r="F188">
            <v>4323942</v>
          </cell>
          <cell r="G188">
            <v>6977943</v>
          </cell>
          <cell r="H188">
            <v>9735850</v>
          </cell>
        </row>
        <row r="189">
          <cell r="A189" t="str">
            <v>14.006/K-B</v>
          </cell>
          <cell r="B189" t="str">
            <v>Patlayıcı madde kullanılarak el veya kompresörle sert kaya kazılması ve kullanılması (Ariyet ocağından getirilecek veya depoya gidecek kazılarda)</v>
          </cell>
          <cell r="C189" t="str">
            <v>M3</v>
          </cell>
          <cell r="E189">
            <v>3193945</v>
          </cell>
          <cell r="F189">
            <v>4271442</v>
          </cell>
          <cell r="G189">
            <v>6891318</v>
          </cell>
          <cell r="H189">
            <v>9627100</v>
          </cell>
        </row>
        <row r="190">
          <cell r="A190" t="str">
            <v>14.007/K-A</v>
          </cell>
          <cell r="B190" t="str">
            <v>Patlayıcı madde kullanılarak el veya kompresörle çok sert kaya kazılması ve kullanılması (Yarma ve yan ariyetten dolguya gidecek kazılarda)</v>
          </cell>
          <cell r="C190" t="str">
            <v>M3</v>
          </cell>
          <cell r="E190">
            <v>3933303</v>
          </cell>
          <cell r="F190">
            <v>5253945</v>
          </cell>
          <cell r="G190">
            <v>8532020</v>
          </cell>
          <cell r="H190">
            <v>11899561</v>
          </cell>
        </row>
        <row r="191">
          <cell r="A191" t="str">
            <v>14.007/K-B</v>
          </cell>
          <cell r="B191" t="str">
            <v>Patlayıcı madde kullanılarak el veya kompresörle çok sert kaya kazılması ve kullanılması (Ariyet ocağından getirilecek veya depoya gidecek kazılarda)</v>
          </cell>
          <cell r="C191" t="str">
            <v>M3</v>
          </cell>
          <cell r="E191">
            <v>3890553</v>
          </cell>
          <cell r="F191">
            <v>5201445</v>
          </cell>
          <cell r="G191">
            <v>8445395</v>
          </cell>
          <cell r="H191">
            <v>11790811</v>
          </cell>
        </row>
        <row r="192">
          <cell r="A192" t="str">
            <v>14.008/K-A</v>
          </cell>
          <cell r="B192" t="str">
            <v>Patlayıcı madde kullanılmadan el veya kompresörle yumuşak kaya kazılması ve kullanılması (Yarma ve yan ariyetten dolguya gidecek kazılarda)</v>
          </cell>
          <cell r="C192" t="str">
            <v>M3</v>
          </cell>
          <cell r="E192">
            <v>4037718</v>
          </cell>
          <cell r="F192">
            <v>5393698</v>
          </cell>
          <cell r="G192">
            <v>8645305</v>
          </cell>
          <cell r="H192">
            <v>12082222</v>
          </cell>
        </row>
        <row r="193">
          <cell r="A193" t="str">
            <v>14.008/K-B</v>
          </cell>
          <cell r="B193" t="str">
            <v>Patlayıcı madde kullanılmadan el veya kompresörle yumuşak kaya kazılması ve kullanılması (Ariyet ocağından getirilecek veya depoya gidecek kazılarda)</v>
          </cell>
          <cell r="C193" t="str">
            <v>M3</v>
          </cell>
          <cell r="E193">
            <v>3994968</v>
          </cell>
          <cell r="F193">
            <v>5341198</v>
          </cell>
          <cell r="G193">
            <v>8558680</v>
          </cell>
          <cell r="H193">
            <v>11973472</v>
          </cell>
        </row>
        <row r="194">
          <cell r="A194" t="str">
            <v>14.009/1</v>
          </cell>
          <cell r="B194" t="str">
            <v>Ankraj ve kaya bulonu deliği açılması</v>
          </cell>
          <cell r="C194" t="str">
            <v>MT</v>
          </cell>
          <cell r="E194">
            <v>2274723</v>
          </cell>
          <cell r="F194">
            <v>3032761</v>
          </cell>
          <cell r="G194">
            <v>5010930</v>
          </cell>
          <cell r="H194">
            <v>6974972</v>
          </cell>
        </row>
        <row r="195">
          <cell r="A195" t="str">
            <v>14.009/K-A</v>
          </cell>
          <cell r="B195" t="str">
            <v>Patlayıcı madde kullanılmadan el veya kompresörle sert kaya kazılması ve kullanılması (Yarma ve yan ariyetten dolguya gidecek kazılarda)</v>
          </cell>
          <cell r="C195" t="str">
            <v>M3</v>
          </cell>
          <cell r="E195">
            <v>5645061</v>
          </cell>
          <cell r="F195">
            <v>7534957</v>
          </cell>
          <cell r="G195">
            <v>12199691</v>
          </cell>
          <cell r="H195">
            <v>17023952</v>
          </cell>
        </row>
        <row r="196">
          <cell r="A196" t="str">
            <v>14.009/K-B</v>
          </cell>
          <cell r="B196" t="str">
            <v>Patlayıcı madde kullanılmadan el veya kompresörle sert kaya kazılması ve kullanılması (Ariyet ocağından getirilecek veya depoya gidecek kazılarda)</v>
          </cell>
          <cell r="C196" t="str">
            <v>M3</v>
          </cell>
          <cell r="E196">
            <v>5602311</v>
          </cell>
          <cell r="F196">
            <v>7482457</v>
          </cell>
          <cell r="G196">
            <v>12113066</v>
          </cell>
          <cell r="H196">
            <v>16915202</v>
          </cell>
        </row>
        <row r="197">
          <cell r="A197" t="str">
            <v>14.010/K-A</v>
          </cell>
          <cell r="B197" t="str">
            <v>Patlayıcı madde kullanılmadan el veya kompresörle çok sert kaya kazılması ve kullanılması (Yarma ve yan ariyetten dolguya gidecek kazılarda)</v>
          </cell>
          <cell r="C197" t="str">
            <v>M3</v>
          </cell>
          <cell r="E197">
            <v>8603247</v>
          </cell>
          <cell r="F197">
            <v>11480971</v>
          </cell>
          <cell r="G197">
            <v>18700542</v>
          </cell>
          <cell r="H197">
            <v>26079418</v>
          </cell>
        </row>
        <row r="198">
          <cell r="A198" t="str">
            <v>14.010/K-B</v>
          </cell>
          <cell r="B198" t="str">
            <v>Patlayıcı madde kullanılmadan el veya kompresörle çok sert kaya kazılması ve kullanılması (Ariyet ocağından getirilecek veya depoya gidecek kazılarda)</v>
          </cell>
          <cell r="C198" t="str">
            <v>M3</v>
          </cell>
          <cell r="E198">
            <v>8560497</v>
          </cell>
          <cell r="F198">
            <v>11428471</v>
          </cell>
          <cell r="G198">
            <v>18613917</v>
          </cell>
          <cell r="H198">
            <v>25970668</v>
          </cell>
        </row>
        <row r="199">
          <cell r="A199" t="str">
            <v>14.011/K-A</v>
          </cell>
          <cell r="B199" t="str">
            <v>El ile batak ve balçık zeminlerin kazılması ve kullanılması (Yarma ve yan ariyetten dolguya gidecek kazılarda)</v>
          </cell>
          <cell r="C199" t="str">
            <v>M3</v>
          </cell>
          <cell r="E199">
            <v>4111875</v>
          </cell>
          <cell r="F199">
            <v>5533750</v>
          </cell>
          <cell r="G199">
            <v>8484562</v>
          </cell>
          <cell r="H199">
            <v>11996875</v>
          </cell>
        </row>
        <row r="200">
          <cell r="A200" t="str">
            <v>14.011/K-B</v>
          </cell>
          <cell r="B200" t="str">
            <v>El ile batak ve balçık zeminlerin kazılması ve kullanılması (Ariyet ocağından getirilecek veya depoya gidecek kazılarda)</v>
          </cell>
          <cell r="C200" t="str">
            <v>M3</v>
          </cell>
          <cell r="E200">
            <v>4069125</v>
          </cell>
          <cell r="F200">
            <v>5481250</v>
          </cell>
          <cell r="G200">
            <v>8397937</v>
          </cell>
          <cell r="H200">
            <v>11888125</v>
          </cell>
        </row>
        <row r="201">
          <cell r="A201" t="str">
            <v>14.018/K</v>
          </cell>
          <cell r="B201" t="str">
            <v>Dolguya gelmiş serilmiş her cins kazının el ile tokmaklanarak sıkıştırılması</v>
          </cell>
          <cell r="C201" t="str">
            <v>M3</v>
          </cell>
          <cell r="E201">
            <v>658000</v>
          </cell>
          <cell r="F201">
            <v>888750</v>
          </cell>
          <cell r="G201">
            <v>1358750</v>
          </cell>
          <cell r="H201">
            <v>1930000</v>
          </cell>
        </row>
        <row r="202">
          <cell r="A202" t="str">
            <v>14.019/1</v>
          </cell>
          <cell r="B202" t="str">
            <v>Dolgu altlarındaki mevcut yol yüzeyinin sürülerek veya sökülerek kabartılması</v>
          </cell>
          <cell r="C202" t="str">
            <v>M2</v>
          </cell>
          <cell r="E202">
            <v>23412</v>
          </cell>
          <cell r="F202">
            <v>30636</v>
          </cell>
          <cell r="G202">
            <v>60000</v>
          </cell>
          <cell r="H202">
            <v>81583</v>
          </cell>
        </row>
        <row r="203">
          <cell r="A203" t="str">
            <v>14.021/1</v>
          </cell>
          <cell r="B203" t="str">
            <v>Kazı ve dolgu alanlarında makine ile temizleme ve sökme</v>
          </cell>
          <cell r="C203" t="str">
            <v>AR</v>
          </cell>
          <cell r="E203">
            <v>3168338</v>
          </cell>
          <cell r="F203">
            <v>4169958</v>
          </cell>
          <cell r="G203">
            <v>7386167</v>
          </cell>
          <cell r="H203">
            <v>10195787</v>
          </cell>
        </row>
        <row r="204">
          <cell r="A204" t="str">
            <v>14.022/1</v>
          </cell>
          <cell r="B204" t="str">
            <v>Makine ile ağaç kesme ve sökme (10-30 cm. çapında)</v>
          </cell>
          <cell r="C204" t="str">
            <v>AD</v>
          </cell>
          <cell r="E204">
            <v>666567</v>
          </cell>
          <cell r="F204">
            <v>878428</v>
          </cell>
          <cell r="G204">
            <v>1545170</v>
          </cell>
          <cell r="H204">
            <v>2135657</v>
          </cell>
        </row>
        <row r="205">
          <cell r="A205" t="str">
            <v>14.022/1-K</v>
          </cell>
          <cell r="B205" t="str">
            <v>Makine ile kök sökme (10-30 cm. çapındaki ağaçların kökleri)</v>
          </cell>
          <cell r="C205" t="str">
            <v>AD</v>
          </cell>
          <cell r="E205">
            <v>334140</v>
          </cell>
          <cell r="F205">
            <v>438182</v>
          </cell>
          <cell r="G205">
            <v>791227</v>
          </cell>
          <cell r="H205">
            <v>1088393</v>
          </cell>
        </row>
        <row r="206">
          <cell r="A206" t="str">
            <v>14.022/2</v>
          </cell>
          <cell r="B206" t="str">
            <v>Makine ile ağaç kesme ve sökme (30-50 cm. çapında)</v>
          </cell>
          <cell r="C206" t="str">
            <v>AD</v>
          </cell>
          <cell r="E206">
            <v>1623152</v>
          </cell>
          <cell r="F206">
            <v>2143106</v>
          </cell>
          <cell r="G206">
            <v>3731400</v>
          </cell>
          <cell r="H206">
            <v>5167103</v>
          </cell>
        </row>
        <row r="207">
          <cell r="A207" t="str">
            <v>14.022/2-K</v>
          </cell>
          <cell r="B207" t="str">
            <v>Makine ile kök sökme (30-50 cm. çapındaki ağaçların kökleri)</v>
          </cell>
          <cell r="C207" t="str">
            <v>AD</v>
          </cell>
          <cell r="E207">
            <v>776491</v>
          </cell>
          <cell r="F207">
            <v>1019238</v>
          </cell>
          <cell r="G207">
            <v>1831215</v>
          </cell>
          <cell r="H207">
            <v>2521262</v>
          </cell>
        </row>
        <row r="208">
          <cell r="A208" t="str">
            <v>14.022/3</v>
          </cell>
          <cell r="B208" t="str">
            <v>Makine ile ağaç kesme ve sökme (50-80 cm. çapında)</v>
          </cell>
          <cell r="C208" t="str">
            <v>AD</v>
          </cell>
          <cell r="E208">
            <v>3826338</v>
          </cell>
          <cell r="F208">
            <v>5058708</v>
          </cell>
          <cell r="G208">
            <v>8744917</v>
          </cell>
          <cell r="H208">
            <v>12125787</v>
          </cell>
        </row>
        <row r="209">
          <cell r="A209" t="str">
            <v>14.022/3-K</v>
          </cell>
          <cell r="B209" t="str">
            <v>Makine ile kök sökme (50-80 cm. çapındaki ağaçların kökleri)</v>
          </cell>
          <cell r="C209" t="str">
            <v>AD</v>
          </cell>
          <cell r="E209">
            <v>1769403</v>
          </cell>
          <cell r="F209">
            <v>2324225</v>
          </cell>
          <cell r="G209">
            <v>4159950</v>
          </cell>
          <cell r="H209">
            <v>5731472</v>
          </cell>
        </row>
        <row r="210">
          <cell r="A210" t="str">
            <v>14.022/4</v>
          </cell>
          <cell r="B210" t="str">
            <v>Makine ile ağaç kesme ve sökme (80 cm. den büyük çapta)</v>
          </cell>
          <cell r="C210" t="str">
            <v>AD</v>
          </cell>
          <cell r="E210">
            <v>6570576</v>
          </cell>
          <cell r="F210">
            <v>8688680</v>
          </cell>
          <cell r="G210">
            <v>15002235</v>
          </cell>
          <cell r="H210">
            <v>20806840</v>
          </cell>
        </row>
        <row r="211">
          <cell r="A211" t="str">
            <v>14.022/4-K</v>
          </cell>
          <cell r="B211" t="str">
            <v>Makine ile kök sökme (80 cm. den büyük çaptaki ağaçların kökleri)</v>
          </cell>
          <cell r="C211" t="str">
            <v>AD</v>
          </cell>
          <cell r="E211">
            <v>3021146</v>
          </cell>
          <cell r="F211">
            <v>3968957</v>
          </cell>
          <cell r="G211">
            <v>7099090</v>
          </cell>
          <cell r="H211">
            <v>9782103</v>
          </cell>
        </row>
        <row r="212">
          <cell r="A212" t="str">
            <v>14.023/A</v>
          </cell>
          <cell r="B212" t="str">
            <v>Kazılara ahşap, tam kaplamalı iksa yapılması</v>
          </cell>
          <cell r="C212" t="str">
            <v>M2</v>
          </cell>
          <cell r="E212">
            <v>4627475</v>
          </cell>
          <cell r="F212">
            <v>5933218</v>
          </cell>
          <cell r="G212">
            <v>9752500</v>
          </cell>
          <cell r="H212">
            <v>13069375</v>
          </cell>
        </row>
        <row r="213">
          <cell r="A213" t="str">
            <v>14.023/B</v>
          </cell>
          <cell r="B213" t="str">
            <v>Kazılara sık aralıklı, ahşap kaplamalı iksa yapılması</v>
          </cell>
          <cell r="C213" t="str">
            <v>M2</v>
          </cell>
          <cell r="E213">
            <v>3239232</v>
          </cell>
          <cell r="F213">
            <v>4153252</v>
          </cell>
          <cell r="G213">
            <v>6826750</v>
          </cell>
          <cell r="H213">
            <v>9148562</v>
          </cell>
        </row>
        <row r="214">
          <cell r="A214" t="str">
            <v>14.023/C</v>
          </cell>
          <cell r="B214" t="str">
            <v>Kazılara aralıklı, ahşap kaplamalı iksa yapılması</v>
          </cell>
          <cell r="C214" t="str">
            <v>M2</v>
          </cell>
          <cell r="E214">
            <v>2313737</v>
          </cell>
          <cell r="F214">
            <v>2966608</v>
          </cell>
          <cell r="G214">
            <v>4876250</v>
          </cell>
          <cell r="H214">
            <v>6534687</v>
          </cell>
        </row>
        <row r="215">
          <cell r="A215" t="str">
            <v>14.100</v>
          </cell>
          <cell r="B215" t="str">
            <v>Köprü civarında kayadan başka her cins ve klastaki zeminin kazılması ve kullanılması (El ile)</v>
          </cell>
          <cell r="C215" t="str">
            <v>M3</v>
          </cell>
          <cell r="E215">
            <v>2259626</v>
          </cell>
          <cell r="F215">
            <v>3037188</v>
          </cell>
          <cell r="G215">
            <v>4661376</v>
          </cell>
          <cell r="H215">
            <v>6580626</v>
          </cell>
        </row>
        <row r="216">
          <cell r="A216" t="str">
            <v>14.101</v>
          </cell>
          <cell r="B216" t="str">
            <v>Köprü civarında kayadan başka her cins ve klastaki zeminin kazılması ve kullanılması (Makine ile)</v>
          </cell>
          <cell r="C216" t="str">
            <v>M3</v>
          </cell>
          <cell r="E216">
            <v>415187</v>
          </cell>
          <cell r="F216">
            <v>534102</v>
          </cell>
          <cell r="G216">
            <v>943867</v>
          </cell>
          <cell r="H216">
            <v>1267953</v>
          </cell>
        </row>
        <row r="217">
          <cell r="A217" t="str">
            <v>14.110</v>
          </cell>
          <cell r="B217" t="str">
            <v>Her derinlikte,her cins ve klastaki zeminde kuruda drenaj, kanalizasyon hendeği ve duvar temelinin kazılması (Heyelan etmiş sahada yapılacak drenaj hendeği ve duvar temelinin kazılması hariç)</v>
          </cell>
          <cell r="C217" t="str">
            <v>M3</v>
          </cell>
          <cell r="E217">
            <v>4308120</v>
          </cell>
          <cell r="F217">
            <v>5744142</v>
          </cell>
          <cell r="G217">
            <v>8931937</v>
          </cell>
          <cell r="H217">
            <v>12499500</v>
          </cell>
        </row>
        <row r="218">
          <cell r="A218" t="str">
            <v>14.111</v>
          </cell>
          <cell r="B218" t="str">
            <v>Her derinlikte, her cins ve klastaki zeminde kuruda kutu menfez, gido, mahmuz, taş dolgu ve tahkimat işleri temellerinin kazılması</v>
          </cell>
          <cell r="C218" t="str">
            <v>M3</v>
          </cell>
          <cell r="E218">
            <v>3382625</v>
          </cell>
          <cell r="F218">
            <v>4557500</v>
          </cell>
          <cell r="G218">
            <v>6981437</v>
          </cell>
          <cell r="H218">
            <v>9885625</v>
          </cell>
        </row>
        <row r="219">
          <cell r="A219" t="str">
            <v>14.112</v>
          </cell>
          <cell r="B219" t="str">
            <v>Her derinlikte, her cins ve klastaki zeminde kuruda tabliyeli veya kemer menfez temelinin kazılması</v>
          </cell>
          <cell r="C219" t="str">
            <v>M3</v>
          </cell>
          <cell r="E219">
            <v>6955933</v>
          </cell>
          <cell r="F219">
            <v>9184176</v>
          </cell>
          <cell r="G219">
            <v>14484262</v>
          </cell>
          <cell r="H219">
            <v>20049331</v>
          </cell>
        </row>
        <row r="220">
          <cell r="A220" t="str">
            <v>14.113</v>
          </cell>
          <cell r="B220" t="str">
            <v>Her derinlikte, her cins ve klastaki zeminde kuruda köprü temelinin kazılması</v>
          </cell>
          <cell r="C220" t="str">
            <v>M3</v>
          </cell>
          <cell r="E220">
            <v>7822170</v>
          </cell>
          <cell r="F220">
            <v>10339921</v>
          </cell>
          <cell r="G220">
            <v>16281875</v>
          </cell>
          <cell r="H220">
            <v>22567452</v>
          </cell>
        </row>
        <row r="221">
          <cell r="A221" t="str">
            <v>14.120</v>
          </cell>
          <cell r="B221" t="str">
            <v>Her derinlikte, her cins ve klastaki zeminde kuruda veya su altında menfez büzü ve kafa hendekleri ile bilumum kanalların dar derivasyon şeklindeki kısımlarının kazılması</v>
          </cell>
          <cell r="C221" t="str">
            <v>M3</v>
          </cell>
          <cell r="E221">
            <v>3382625</v>
          </cell>
          <cell r="F221">
            <v>4557500</v>
          </cell>
          <cell r="G221">
            <v>6981437</v>
          </cell>
          <cell r="H221">
            <v>9885625</v>
          </cell>
        </row>
        <row r="222">
          <cell r="A222" t="str">
            <v>14.121</v>
          </cell>
          <cell r="B222" t="str">
            <v>Her derinlikte, her cins ve klastaki zeminde, su altında drenaj, kanalizasyon hendeği ve duvar temelinin kazılması (Heyelan etmiş sahada yapılacak drenaj hendeği ve duvar temelinin kazılması hariç)</v>
          </cell>
          <cell r="C222" t="str">
            <v>M3</v>
          </cell>
          <cell r="E222">
            <v>6770335</v>
          </cell>
          <cell r="F222">
            <v>8935648</v>
          </cell>
          <cell r="G222">
            <v>14515308</v>
          </cell>
          <cell r="H222">
            <v>20206598</v>
          </cell>
        </row>
        <row r="223">
          <cell r="A223" t="str">
            <v>14.122</v>
          </cell>
          <cell r="B223" t="str">
            <v>Her derinlikte, her cins ve klastaki zeminde, su altında (Kutu menfez, gido, mahmuz, taş dolgu ve tahkimat işleri) temellerinin kazılması</v>
          </cell>
          <cell r="C223" t="str">
            <v>M3</v>
          </cell>
          <cell r="E223">
            <v>5541151</v>
          </cell>
          <cell r="F223">
            <v>7297461</v>
          </cell>
          <cell r="G223">
            <v>11859478</v>
          </cell>
          <cell r="H223">
            <v>16461713</v>
          </cell>
        </row>
        <row r="224">
          <cell r="A224" t="str">
            <v>14.123</v>
          </cell>
          <cell r="B224" t="str">
            <v>Her derinlikte, her cins ve klastaki zeminde, su altında tabliyeli veya kemer menfez temelinin kazılması</v>
          </cell>
          <cell r="C224" t="str">
            <v>M3</v>
          </cell>
          <cell r="E224">
            <v>10492122</v>
          </cell>
          <cell r="F224">
            <v>13787223</v>
          </cell>
          <cell r="G224">
            <v>22725256</v>
          </cell>
          <cell r="H224">
            <v>31542717</v>
          </cell>
        </row>
        <row r="225">
          <cell r="A225" t="str">
            <v>14.124</v>
          </cell>
          <cell r="B225" t="str">
            <v>Her derinlikte, her cins ve klastaki zeminde,su altında köprü temelinin kazılması</v>
          </cell>
          <cell r="C225" t="str">
            <v>M3</v>
          </cell>
          <cell r="E225">
            <v>15309502</v>
          </cell>
          <cell r="F225">
            <v>20067146</v>
          </cell>
          <cell r="G225">
            <v>33852986</v>
          </cell>
          <cell r="H225">
            <v>47057955</v>
          </cell>
        </row>
        <row r="226">
          <cell r="A226" t="str">
            <v>14.125</v>
          </cell>
          <cell r="B226" t="str">
            <v>Her derinlikte, her cins ve klastaki zeminde,su altında köprü temelinin kazılması</v>
          </cell>
          <cell r="C226" t="str">
            <v>M3</v>
          </cell>
          <cell r="E226">
            <v>18580507</v>
          </cell>
          <cell r="F226">
            <v>24295302</v>
          </cell>
          <cell r="G226">
            <v>40933297</v>
          </cell>
          <cell r="H226">
            <v>56699637</v>
          </cell>
        </row>
        <row r="227">
          <cell r="A227" t="str">
            <v>14.126</v>
          </cell>
          <cell r="B227" t="str">
            <v>Her derinlikte, her cins ve klastaki zeminde,su altında köprü temelinin kazılması</v>
          </cell>
          <cell r="C227" t="str">
            <v>M3</v>
          </cell>
          <cell r="E227">
            <v>22337578</v>
          </cell>
          <cell r="F227">
            <v>29172127</v>
          </cell>
          <cell r="G227">
            <v>49074155</v>
          </cell>
          <cell r="H227">
            <v>67841818</v>
          </cell>
        </row>
        <row r="228">
          <cell r="A228" t="str">
            <v>14.127</v>
          </cell>
          <cell r="B228" t="str">
            <v>Her derinlikte, her cins ve klastaki zeminde,su altında köprü temelinin kazılması</v>
          </cell>
          <cell r="C228" t="str">
            <v>M3</v>
          </cell>
          <cell r="E228">
            <v>26752650</v>
          </cell>
          <cell r="F228">
            <v>34937702</v>
          </cell>
          <cell r="G228">
            <v>58573762</v>
          </cell>
          <cell r="H228">
            <v>80914000</v>
          </cell>
        </row>
        <row r="229">
          <cell r="A229" t="str">
            <v>14.150</v>
          </cell>
          <cell r="B229" t="str">
            <v>Heyelan etmiş sahada her cins ve klastaki zeminde kuruda veya su altında drenaj hendeği ve duvar temelinin kazılması (Derinlik 0-4 m.arası, 4 m.dahil)</v>
          </cell>
          <cell r="C229" t="str">
            <v>M3</v>
          </cell>
          <cell r="E229">
            <v>6435057</v>
          </cell>
          <cell r="F229">
            <v>8434881</v>
          </cell>
          <cell r="G229">
            <v>13592951</v>
          </cell>
          <cell r="H229">
            <v>18710683</v>
          </cell>
        </row>
        <row r="230">
          <cell r="A230" t="str">
            <v>14.152</v>
          </cell>
          <cell r="B230" t="str">
            <v>Heyelan etmiş sahada her cins ve klastaki zeminde kuruda veya su altında drenaj hendeği ve duvar temelinin kazılması (Derinlik 4-8 m.arası, 8 m.dahil)</v>
          </cell>
          <cell r="C230" t="str">
            <v>M3</v>
          </cell>
          <cell r="E230">
            <v>9684807</v>
          </cell>
          <cell r="F230">
            <v>12697593</v>
          </cell>
          <cell r="G230">
            <v>20486170</v>
          </cell>
          <cell r="H230">
            <v>28215962</v>
          </cell>
        </row>
        <row r="231">
          <cell r="A231" t="str">
            <v>14.154</v>
          </cell>
          <cell r="B231" t="str">
            <v>Heyelan etmiş sahada her cins ve klastaki zeminde kuruda veya su altında drenaj hendeği ve duvar temelinin kazilması (Derinlik 8-12 m.arası, 12 m.dahil)</v>
          </cell>
          <cell r="C231" t="str">
            <v>M3</v>
          </cell>
          <cell r="E231">
            <v>13749623</v>
          </cell>
          <cell r="F231">
            <v>18053350</v>
          </cell>
          <cell r="G231">
            <v>29119308</v>
          </cell>
          <cell r="H231">
            <v>40186740</v>
          </cell>
        </row>
        <row r="232">
          <cell r="A232" t="str">
            <v>14.156</v>
          </cell>
          <cell r="B232" t="str">
            <v>Heyelan etmiş sahada her cins ve klastaki zeminde kuruda veya su altında drenaj hendeği ve duvar temelinin kazılması (Derinlik 12-16 m.arası, 16 m.dahil)</v>
          </cell>
          <cell r="C232" t="str">
            <v>M3</v>
          </cell>
          <cell r="E232">
            <v>16695757</v>
          </cell>
          <cell r="F232">
            <v>22016936</v>
          </cell>
          <cell r="G232">
            <v>35316652</v>
          </cell>
          <cell r="H232">
            <v>48977737</v>
          </cell>
        </row>
        <row r="233">
          <cell r="A233" t="str">
            <v>15.001/A</v>
          </cell>
          <cell r="B233" t="str">
            <v>Ekskavatörle her cins toprağın kazılması ve kullanılması (Yarma ve yan ariyetten dolguya gidecek kazılarda)</v>
          </cell>
          <cell r="C233" t="str">
            <v>M3</v>
          </cell>
          <cell r="E233">
            <v>420473</v>
          </cell>
          <cell r="F233">
            <v>538000</v>
          </cell>
          <cell r="G233">
            <v>938706</v>
          </cell>
          <cell r="H233">
            <v>1247735</v>
          </cell>
        </row>
        <row r="234">
          <cell r="A234" t="str">
            <v>15.001/B</v>
          </cell>
          <cell r="B234" t="str">
            <v>Ekskavatörle her cins toprağın kazılması ve kullanılması (Ariyet ocağından getirilecek veya depoya gidecek kazılarda)</v>
          </cell>
          <cell r="C234" t="str">
            <v>M3</v>
          </cell>
          <cell r="E234">
            <v>377723</v>
          </cell>
          <cell r="F234">
            <v>485500</v>
          </cell>
          <cell r="G234">
            <v>852081</v>
          </cell>
          <cell r="H234">
            <v>1138985</v>
          </cell>
        </row>
        <row r="235">
          <cell r="A235" t="str">
            <v>15.003/A</v>
          </cell>
          <cell r="B235" t="str">
            <v>Skreyperle her cins toprağın kazılması ve kullanılması (Yarma ve yan ariyetten dolguya gidecek kazılarda)</v>
          </cell>
          <cell r="C235" t="str">
            <v>M3</v>
          </cell>
          <cell r="E235">
            <v>327242</v>
          </cell>
          <cell r="F235">
            <v>415333</v>
          </cell>
          <cell r="G235">
            <v>720077</v>
          </cell>
          <cell r="H235">
            <v>950112</v>
          </cell>
        </row>
        <row r="236">
          <cell r="A236" t="str">
            <v>15.003/B</v>
          </cell>
          <cell r="B236" t="str">
            <v>Skreyperle her cins toprağın kazılması ve kullanılması (Ariyet ocağından getirilecek veya depoya gidecek kazılarda)</v>
          </cell>
          <cell r="C236" t="str">
            <v>M3</v>
          </cell>
          <cell r="E236">
            <v>284492</v>
          </cell>
          <cell r="F236">
            <v>362833</v>
          </cell>
          <cell r="G236">
            <v>633452</v>
          </cell>
          <cell r="H236">
            <v>841362</v>
          </cell>
        </row>
        <row r="237">
          <cell r="A237" t="str">
            <v>15.004/A</v>
          </cell>
          <cell r="B237" t="str">
            <v>Buldozerle her cins toprağın kazılması ve kullanılması (Yarma ve yan ariyetten dolguya gidecek kazılarda)</v>
          </cell>
          <cell r="C237" t="str">
            <v>M3</v>
          </cell>
          <cell r="E237">
            <v>276840</v>
          </cell>
          <cell r="F237">
            <v>348903</v>
          </cell>
          <cell r="G237">
            <v>603296</v>
          </cell>
          <cell r="H237">
            <v>788835</v>
          </cell>
        </row>
        <row r="238">
          <cell r="A238" t="str">
            <v>15.004/B</v>
          </cell>
          <cell r="B238" t="str">
            <v>Buldozerle her cins toprağın kazılması ve kullanılması (Ariyet ocağından getirilecek veya depoya gidecek kazılarda)</v>
          </cell>
          <cell r="C238" t="str">
            <v>M3</v>
          </cell>
          <cell r="E238">
            <v>234090</v>
          </cell>
          <cell r="F238">
            <v>296403</v>
          </cell>
          <cell r="G238">
            <v>516671</v>
          </cell>
          <cell r="H238">
            <v>680085</v>
          </cell>
        </row>
        <row r="239">
          <cell r="A239" t="str">
            <v>15.005</v>
          </cell>
          <cell r="B239" t="str">
            <v>Zayıf zeminin (Bitkisel toprak vs.) kazılması ve kullanılması</v>
          </cell>
          <cell r="C239" t="str">
            <v>M3</v>
          </cell>
          <cell r="D239">
            <v>2506</v>
          </cell>
          <cell r="E239">
            <v>237390</v>
          </cell>
          <cell r="F239">
            <v>297587</v>
          </cell>
          <cell r="G239">
            <v>506668</v>
          </cell>
          <cell r="H239">
            <v>656831</v>
          </cell>
          <cell r="I239">
            <v>772090</v>
          </cell>
        </row>
        <row r="240">
          <cell r="A240" t="str">
            <v>15.006/A</v>
          </cell>
          <cell r="B240" t="str">
            <v>Ekskavatörle her cins küskülüğün kazılması ve kullanılması (Yarma ve yan ariyetten dolguya gidecek kazılarda)</v>
          </cell>
          <cell r="C240" t="str">
            <v>M3</v>
          </cell>
          <cell r="E240">
            <v>609537</v>
          </cell>
          <cell r="F240">
            <v>786185</v>
          </cell>
          <cell r="G240">
            <v>1385217</v>
          </cell>
          <cell r="H240">
            <v>1859226</v>
          </cell>
        </row>
        <row r="241">
          <cell r="A241" t="str">
            <v>15.006/B</v>
          </cell>
          <cell r="B241" t="str">
            <v>Ekskavatörle her cins küskülüğün kazılması ve kullanılması (Ariyet ocağından getirilecek veya depoya gidecek kazılarda)</v>
          </cell>
          <cell r="C241" t="str">
            <v>M3</v>
          </cell>
          <cell r="E241">
            <v>566787</v>
          </cell>
          <cell r="F241">
            <v>733685</v>
          </cell>
          <cell r="G241">
            <v>1298592</v>
          </cell>
          <cell r="H241">
            <v>1750476</v>
          </cell>
        </row>
        <row r="242">
          <cell r="A242" t="str">
            <v>15.008/A</v>
          </cell>
          <cell r="B242" t="str">
            <v>Skreyperle her cins küskülüğün kazılması ve kullanılması (Yarma ve yan ariyetten dolguya gidecek kazılarda)</v>
          </cell>
          <cell r="C242" t="str">
            <v>M3</v>
          </cell>
          <cell r="E242">
            <v>555332</v>
          </cell>
          <cell r="F242">
            <v>713991</v>
          </cell>
          <cell r="G242">
            <v>1286222</v>
          </cell>
          <cell r="H242">
            <v>1723298</v>
          </cell>
        </row>
        <row r="243">
          <cell r="A243" t="str">
            <v>15.008/B</v>
          </cell>
          <cell r="B243" t="str">
            <v>Skreyperle her cins küskülüğün kazılması ve kullanılması (Ariyet ocağından getirilecek veya depoya gidecek kazılarda)</v>
          </cell>
          <cell r="C243" t="str">
            <v>M3</v>
          </cell>
          <cell r="E243">
            <v>512582</v>
          </cell>
          <cell r="F243">
            <v>661491</v>
          </cell>
          <cell r="G243">
            <v>1199597</v>
          </cell>
          <cell r="H243">
            <v>1614548</v>
          </cell>
        </row>
        <row r="244">
          <cell r="A244" t="str">
            <v>15.009/A</v>
          </cell>
          <cell r="B244" t="str">
            <v>Buldozerle her cins küskülüğün kazılması ve kullanılması (Yarma ve yan ariyetten dolguya gidecek kazılarda)</v>
          </cell>
          <cell r="C244" t="str">
            <v>M3</v>
          </cell>
          <cell r="E244">
            <v>469668</v>
          </cell>
          <cell r="F244">
            <v>601140</v>
          </cell>
          <cell r="G244">
            <v>1087316</v>
          </cell>
          <cell r="H244">
            <v>1448723</v>
          </cell>
        </row>
        <row r="245">
          <cell r="A245" t="str">
            <v>15.009/B</v>
          </cell>
          <cell r="B245" t="str">
            <v>Buldozerle her cins küskülüğün kazılması ve kullanılması (Ariyet ocağından getirilecek veya depoya gidecek kazılarda)</v>
          </cell>
          <cell r="C245" t="str">
            <v>M3</v>
          </cell>
          <cell r="E245">
            <v>426918</v>
          </cell>
          <cell r="F245">
            <v>548640</v>
          </cell>
          <cell r="G245">
            <v>1000691</v>
          </cell>
          <cell r="H245">
            <v>1339973</v>
          </cell>
        </row>
        <row r="246">
          <cell r="A246" t="str">
            <v>15.010/A</v>
          </cell>
          <cell r="B246" t="str">
            <v>Ekskavatörle yumuşak kayanın kazılması ve kullanılması (Yarma ve yan ariyetten dolguya gidecek kazılarda)</v>
          </cell>
          <cell r="C246" t="str">
            <v>M3</v>
          </cell>
          <cell r="E246">
            <v>1621391</v>
          </cell>
          <cell r="F246">
            <v>2137962</v>
          </cell>
          <cell r="G246">
            <v>3649802</v>
          </cell>
        </row>
        <row r="247">
          <cell r="A247" t="str">
            <v>15.010/B</v>
          </cell>
          <cell r="B247" t="str">
            <v>Ekskavatörle yumuşak kayanın kazılması ve kullanılması (Ariyet ocağından getirilecek veya depoya gidecek kazılarda)</v>
          </cell>
          <cell r="C247" t="str">
            <v>M3</v>
          </cell>
          <cell r="E247">
            <v>1578641</v>
          </cell>
          <cell r="F247">
            <v>2085462</v>
          </cell>
          <cell r="G247">
            <v>3563177</v>
          </cell>
        </row>
        <row r="248">
          <cell r="A248" t="str">
            <v>15.012/A</v>
          </cell>
          <cell r="B248" t="str">
            <v>Skreyperle yumuşak kayanın kazılması ve kullanılması (Yarma ve yan ariyetten dolguya gidecek kazılarda)</v>
          </cell>
          <cell r="C248" t="str">
            <v>M3</v>
          </cell>
          <cell r="E248">
            <v>1681196</v>
          </cell>
          <cell r="F248">
            <v>2215585</v>
          </cell>
          <cell r="G248">
            <v>3805596</v>
          </cell>
        </row>
        <row r="249">
          <cell r="A249" t="str">
            <v>15.012/B</v>
          </cell>
          <cell r="B249" t="str">
            <v>Skreyperle yumuşak kayanın kazılması ve kullanılması (Ariyet ocağından getirilecek veya depoya gidecek kazılarda)</v>
          </cell>
          <cell r="C249" t="str">
            <v>M3</v>
          </cell>
          <cell r="E249">
            <v>1638446</v>
          </cell>
          <cell r="F249">
            <v>2163085</v>
          </cell>
          <cell r="G249">
            <v>3718971</v>
          </cell>
        </row>
        <row r="250">
          <cell r="A250" t="str">
            <v>15.013/A</v>
          </cell>
          <cell r="B250" t="str">
            <v>Buldozerle yumuşak kayanın kazılması ve kullanılması (Yarma ve yan ariyetten dolguya gidecek kazılarda)</v>
          </cell>
          <cell r="C250" t="str">
            <v>M3</v>
          </cell>
          <cell r="E250">
            <v>1561662</v>
          </cell>
          <cell r="F250">
            <v>2058518</v>
          </cell>
          <cell r="G250">
            <v>3524943</v>
          </cell>
        </row>
        <row r="251">
          <cell r="A251" t="str">
            <v>15.013/B</v>
          </cell>
          <cell r="B251" t="str">
            <v>Buldozerle yumuşak kayanın kazılması ve kullanılması (Ariyet ocağından getirilecek veya depoya gidecek kazılarda)</v>
          </cell>
          <cell r="C251" t="str">
            <v>M3</v>
          </cell>
          <cell r="E251">
            <v>1518912</v>
          </cell>
          <cell r="F251">
            <v>2006018</v>
          </cell>
          <cell r="G251">
            <v>3438318</v>
          </cell>
        </row>
        <row r="252">
          <cell r="A252" t="str">
            <v>15.014/A</v>
          </cell>
          <cell r="B252" t="str">
            <v>Ekskavatörle sert kayanın kazılması ve kullanılması (Yarma ve yan ariyetten dolguya gidecek kazılarda)</v>
          </cell>
          <cell r="C252" t="str">
            <v>M3</v>
          </cell>
          <cell r="E252">
            <v>1994535</v>
          </cell>
          <cell r="F252">
            <v>2635215</v>
          </cell>
          <cell r="G252">
            <v>4499242</v>
          </cell>
        </row>
        <row r="253">
          <cell r="A253" t="str">
            <v>15.014/B</v>
          </cell>
          <cell r="B253" t="str">
            <v>Ekskavatörle sert kayanın kazılması ve kullanılması (Ariyet ocağından getirilecek veya depoya gidecek kazılarda)</v>
          </cell>
          <cell r="C253" t="str">
            <v>M3</v>
          </cell>
          <cell r="E253">
            <v>1951785</v>
          </cell>
          <cell r="F253">
            <v>2582715</v>
          </cell>
          <cell r="G253">
            <v>4412617</v>
          </cell>
        </row>
        <row r="254">
          <cell r="A254" t="str">
            <v>15.016/A</v>
          </cell>
          <cell r="B254" t="str">
            <v>Skreyperle sert kayanın kazılması ve kullanılması (Yarma ve yan ariyetten dolguya gidecek kazılarda)</v>
          </cell>
          <cell r="C254" t="str">
            <v>M3</v>
          </cell>
          <cell r="E254">
            <v>2054340</v>
          </cell>
          <cell r="F254">
            <v>2712837</v>
          </cell>
          <cell r="G254">
            <v>4655036</v>
          </cell>
        </row>
        <row r="255">
          <cell r="A255" t="str">
            <v>15.016/B</v>
          </cell>
          <cell r="B255" t="str">
            <v>Skreyperle sert kayanın kazılması ve kullanılması (Ariyet ocağından getirilecek veya depoya gidecek kazılarda)</v>
          </cell>
          <cell r="C255" t="str">
            <v>M3</v>
          </cell>
          <cell r="E255">
            <v>2011590</v>
          </cell>
          <cell r="F255">
            <v>2660337</v>
          </cell>
          <cell r="G255">
            <v>4568411</v>
          </cell>
        </row>
        <row r="256">
          <cell r="A256" t="str">
            <v>15.017/A</v>
          </cell>
          <cell r="B256" t="str">
            <v>Buldozerle sert kayanın kazılması ve kullanılması (Yarma ve yan ariyetten dolguya gidecek kazılarda)</v>
          </cell>
          <cell r="C256" t="str">
            <v>M3</v>
          </cell>
          <cell r="E256">
            <v>1934806</v>
          </cell>
          <cell r="F256">
            <v>2555771</v>
          </cell>
          <cell r="G256">
            <v>4374383</v>
          </cell>
        </row>
        <row r="257">
          <cell r="A257" t="str">
            <v>15.017/B</v>
          </cell>
          <cell r="B257" t="str">
            <v>Buldozerle sert kayanın kazılması ve kullanılması (Ariyet ocağından getirilecek veya depoya gidecek kazılarda)</v>
          </cell>
          <cell r="C257" t="str">
            <v>M3</v>
          </cell>
          <cell r="E257">
            <v>1892056</v>
          </cell>
          <cell r="F257">
            <v>2503271</v>
          </cell>
          <cell r="G257">
            <v>4287758</v>
          </cell>
        </row>
        <row r="258">
          <cell r="A258" t="str">
            <v>15.018/A</v>
          </cell>
          <cell r="B258" t="str">
            <v>Ekskavatörle çok sert kayanın kazılması ve kullanılması (Yarma ve yan ariyetten dolguya gidecek kazılarda)</v>
          </cell>
          <cell r="C258" t="str">
            <v>M3</v>
          </cell>
          <cell r="E258">
            <v>2590603</v>
          </cell>
          <cell r="F258">
            <v>3429467</v>
          </cell>
          <cell r="G258">
            <v>5845693</v>
          </cell>
        </row>
        <row r="259">
          <cell r="A259" t="str">
            <v>15.018/B</v>
          </cell>
          <cell r="B259" t="str">
            <v>Ekskavatörle çok sert kayanın kazılması ve kullanılması (Ariyet ocağından getirilecek veya depoya gidecek kazılarda)</v>
          </cell>
          <cell r="C259" t="str">
            <v>M3</v>
          </cell>
          <cell r="E259">
            <v>2547853</v>
          </cell>
          <cell r="F259">
            <v>3376967</v>
          </cell>
          <cell r="G259">
            <v>5759068</v>
          </cell>
        </row>
        <row r="260">
          <cell r="A260" t="str">
            <v>15.022/A</v>
          </cell>
          <cell r="B260" t="str">
            <v>Skreyperle çok sert kayanın kazılması ve kullanılması (Yarma ve yan ariyetten dolguya gidecek kazılarda)</v>
          </cell>
          <cell r="C260" t="str">
            <v>M3</v>
          </cell>
          <cell r="E260">
            <v>2650408</v>
          </cell>
          <cell r="F260">
            <v>3507090</v>
          </cell>
          <cell r="G260">
            <v>6001487</v>
          </cell>
        </row>
        <row r="261">
          <cell r="A261" t="str">
            <v>15.022/B</v>
          </cell>
          <cell r="B261" t="str">
            <v>Skreyperle çok sert kayanın kazılması ve kullanılması (Ariyet ocağından getirilecek veya depoya gidecek kazılarda)</v>
          </cell>
          <cell r="C261" t="str">
            <v>M3</v>
          </cell>
          <cell r="E261">
            <v>2607658</v>
          </cell>
          <cell r="F261">
            <v>3454590</v>
          </cell>
          <cell r="G261">
            <v>5914862</v>
          </cell>
        </row>
        <row r="262">
          <cell r="A262" t="str">
            <v>15.023/A</v>
          </cell>
          <cell r="B262" t="str">
            <v>Buldozerle çok sert kayanın kazılması ve kullanılması (Yarma ve yan ariyetten dolguya gidecek kazılarda)</v>
          </cell>
          <cell r="C262" t="str">
            <v>M3</v>
          </cell>
          <cell r="E262">
            <v>2530875</v>
          </cell>
          <cell r="F262">
            <v>3350023</v>
          </cell>
          <cell r="G262">
            <v>5720835</v>
          </cell>
        </row>
        <row r="263">
          <cell r="A263" t="str">
            <v>15.023/B</v>
          </cell>
          <cell r="B263" t="str">
            <v>Buldozerle çok sert kayanın kazılması ve kullanılması (Ariyet ocağından getirilecek veya depoya gidecek kazılarda)</v>
          </cell>
          <cell r="C263" t="str">
            <v>M3</v>
          </cell>
          <cell r="E263">
            <v>2488125</v>
          </cell>
          <cell r="F263">
            <v>3297523</v>
          </cell>
          <cell r="G263">
            <v>5634210</v>
          </cell>
        </row>
        <row r="264">
          <cell r="A264" t="str">
            <v>15.024/1</v>
          </cell>
          <cell r="B264" t="str">
            <v>šst yapı malzemelerinin temininde malzeme çıkarma müşkülatı zammı</v>
          </cell>
          <cell r="C264" t="str">
            <v>M3</v>
          </cell>
          <cell r="E264">
            <v>226338</v>
          </cell>
          <cell r="F264">
            <v>300438</v>
          </cell>
          <cell r="G264">
            <v>516545</v>
          </cell>
          <cell r="H264">
            <v>713158</v>
          </cell>
        </row>
        <row r="265">
          <cell r="A265" t="str">
            <v>15.024/A</v>
          </cell>
          <cell r="B265" t="str">
            <v>Makineli kazılarda kayadan başka zeminlerde su müşkülat zammı</v>
          </cell>
          <cell r="C265" t="str">
            <v>M3</v>
          </cell>
          <cell r="E265">
            <v>79091</v>
          </cell>
          <cell r="F265">
            <v>103861</v>
          </cell>
          <cell r="G265">
            <v>186521</v>
          </cell>
          <cell r="H265">
            <v>255406</v>
          </cell>
        </row>
        <row r="266">
          <cell r="A266" t="str">
            <v>15.024/B</v>
          </cell>
          <cell r="B266" t="str">
            <v>Makineli kazılarda her nevi kaya zeminde su müşkülat zammı</v>
          </cell>
          <cell r="C266" t="str">
            <v>M3</v>
          </cell>
          <cell r="E266">
            <v>158182</v>
          </cell>
          <cell r="F266">
            <v>207723</v>
          </cell>
          <cell r="G266">
            <v>373042</v>
          </cell>
          <cell r="H266">
            <v>510813</v>
          </cell>
        </row>
        <row r="267">
          <cell r="A267" t="str">
            <v>15.040/K</v>
          </cell>
          <cell r="B267" t="str">
            <v>Makine ile kayadan başka her cins zeminin röprizi ve kullanılması</v>
          </cell>
          <cell r="C267" t="str">
            <v>M3</v>
          </cell>
          <cell r="E267">
            <v>200216</v>
          </cell>
          <cell r="F267">
            <v>252611</v>
          </cell>
          <cell r="G267">
            <v>431958</v>
          </cell>
          <cell r="H267">
            <v>563531</v>
          </cell>
        </row>
        <row r="268">
          <cell r="A268" t="str">
            <v>15.041/K</v>
          </cell>
          <cell r="B268" t="str">
            <v>Makine ile her cins kaya zeminin röprizi ve kullanılması</v>
          </cell>
          <cell r="C268" t="str">
            <v>M3</v>
          </cell>
          <cell r="E268">
            <v>358398</v>
          </cell>
          <cell r="F268">
            <v>460336</v>
          </cell>
          <cell r="G268">
            <v>805001</v>
          </cell>
          <cell r="H268">
            <v>1074346</v>
          </cell>
        </row>
        <row r="269">
          <cell r="A269" t="str">
            <v>15.042/K</v>
          </cell>
          <cell r="B269" t="str">
            <v>Makine ile heyelan eden kayadan başka her cins zeminin kazılması ve kullanılması</v>
          </cell>
          <cell r="C269" t="str">
            <v>M3</v>
          </cell>
          <cell r="E269">
            <v>271745</v>
          </cell>
          <cell r="F269">
            <v>345622</v>
          </cell>
          <cell r="G269">
            <v>607082</v>
          </cell>
          <cell r="H269">
            <v>804071</v>
          </cell>
        </row>
        <row r="270">
          <cell r="A270" t="str">
            <v>15.043/K</v>
          </cell>
          <cell r="B270" t="str">
            <v>Makine ile heyelan eden her cins kayanın kazılması ve kullanılması</v>
          </cell>
          <cell r="C270" t="str">
            <v>M3</v>
          </cell>
          <cell r="E270">
            <v>522778</v>
          </cell>
          <cell r="F270">
            <v>673742</v>
          </cell>
          <cell r="G270">
            <v>1209823</v>
          </cell>
          <cell r="H270">
            <v>1630650</v>
          </cell>
        </row>
        <row r="271">
          <cell r="A271" t="str">
            <v>15.044</v>
          </cell>
          <cell r="B271" t="str">
            <v>Her cins toprak zeminde reglaj  baz fiyatı (Fb)</v>
          </cell>
          <cell r="C271" t="str">
            <v>KM</v>
          </cell>
          <cell r="E271">
            <v>703544750</v>
          </cell>
          <cell r="F271">
            <v>926546687</v>
          </cell>
          <cell r="G271">
            <v>1639261062</v>
          </cell>
          <cell r="H271">
            <v>2248938375</v>
          </cell>
        </row>
        <row r="272">
          <cell r="A272" t="str">
            <v>15.045</v>
          </cell>
          <cell r="B272" t="str">
            <v>Her cins küskülük zeminde reglaj baz fiyatı (Fb)</v>
          </cell>
          <cell r="C272" t="str">
            <v>KM</v>
          </cell>
          <cell r="E272">
            <v>1055317125</v>
          </cell>
          <cell r="F272">
            <v>1389820031</v>
          </cell>
          <cell r="G272">
            <v>2458891593</v>
          </cell>
          <cell r="H272">
            <v>3373407562</v>
          </cell>
        </row>
        <row r="273">
          <cell r="A273" t="str">
            <v>15.046</v>
          </cell>
          <cell r="B273" t="str">
            <v>Her cins kayalık zeminde reglaj baz fiyatı (Fb)</v>
          </cell>
          <cell r="C273" t="str">
            <v>KM</v>
          </cell>
          <cell r="E273">
            <v>1407089500</v>
          </cell>
          <cell r="F273">
            <v>1853093375</v>
          </cell>
          <cell r="G273">
            <v>3278522125</v>
          </cell>
          <cell r="H273">
            <v>4497876750</v>
          </cell>
        </row>
        <row r="274">
          <cell r="A274" t="str">
            <v>15.047</v>
          </cell>
          <cell r="B274" t="str">
            <v>Arazöz ile sulama</v>
          </cell>
          <cell r="C274" t="str">
            <v>TN</v>
          </cell>
          <cell r="E274">
            <v>998086</v>
          </cell>
          <cell r="F274">
            <v>1299440</v>
          </cell>
          <cell r="G274">
            <v>2415605</v>
          </cell>
          <cell r="H274">
            <v>3382443</v>
          </cell>
        </row>
        <row r="275">
          <cell r="A275" t="str">
            <v>15.047/1</v>
          </cell>
          <cell r="B275" t="str">
            <v>El ile sulama</v>
          </cell>
          <cell r="C275" t="str">
            <v>TN</v>
          </cell>
          <cell r="E275">
            <v>2961000</v>
          </cell>
          <cell r="F275">
            <v>3999375</v>
          </cell>
          <cell r="G275">
            <v>6114375</v>
          </cell>
          <cell r="H275">
            <v>8685000</v>
          </cell>
        </row>
        <row r="276">
          <cell r="A276" t="str">
            <v>15.047/K</v>
          </cell>
          <cell r="B276" t="str">
            <v>Arazöz ile fidan ve çalıların sulanması</v>
          </cell>
          <cell r="C276" t="str">
            <v>TN</v>
          </cell>
          <cell r="E276">
            <v>1613240</v>
          </cell>
          <cell r="F276">
            <v>2109070</v>
          </cell>
          <cell r="G276">
            <v>3840741</v>
          </cell>
          <cell r="H276">
            <v>5385171</v>
          </cell>
        </row>
        <row r="277">
          <cell r="A277" t="str">
            <v>15.047/K-2</v>
          </cell>
          <cell r="B277" t="str">
            <v>Yolların yarma ve dolgu şevlerinde arazöz ile fidan ve çalıların sulanması</v>
          </cell>
          <cell r="C277" t="str">
            <v>TN</v>
          </cell>
          <cell r="E277">
            <v>2216916</v>
          </cell>
          <cell r="F277">
            <v>2913822</v>
          </cell>
          <cell r="G277">
            <v>5164747</v>
          </cell>
          <cell r="H277">
            <v>7255035</v>
          </cell>
        </row>
        <row r="278">
          <cell r="A278" t="str">
            <v>15.050</v>
          </cell>
          <cell r="B278" t="str">
            <v>Her cins (Titreşimli, darbeli) motorlu kompaktörle sıkıştırma yapılması</v>
          </cell>
          <cell r="C278" t="str">
            <v>SA</v>
          </cell>
          <cell r="E278">
            <v>3825536</v>
          </cell>
          <cell r="F278">
            <v>5112512</v>
          </cell>
          <cell r="G278">
            <v>8296705</v>
          </cell>
          <cell r="H278">
            <v>11692025</v>
          </cell>
        </row>
        <row r="279">
          <cell r="A279" t="str">
            <v>15.051</v>
          </cell>
          <cell r="B279" t="str">
            <v>Titreşimli silindirle sıkıştırma yapılması (4-5 ton-5 ton dahil-statik ağırlık ve 8-9 ton dinamik kuvvette titreşimli silindir + lastik tekerlekli traktör, takriben 35-58 DHP)</v>
          </cell>
          <cell r="C279" t="str">
            <v>SA</v>
          </cell>
          <cell r="E279">
            <v>10583393</v>
          </cell>
          <cell r="F279">
            <v>13822066</v>
          </cell>
          <cell r="G279">
            <v>25377405</v>
          </cell>
          <cell r="H279">
            <v>35255818</v>
          </cell>
        </row>
        <row r="280">
          <cell r="A280" t="str">
            <v>15.052</v>
          </cell>
          <cell r="B280" t="str">
            <v>Titreşimli silindirle sıkıştırma yapılması (4-5 ton-5 ton dahil-statik ağırlık ve 8-9 ton dinamik kuvvette titreşimli silindir+paletli traktör,takriben 41-56 DHP)</v>
          </cell>
          <cell r="C280" t="str">
            <v>SA</v>
          </cell>
          <cell r="E280">
            <v>11182187</v>
          </cell>
          <cell r="F280">
            <v>14606990</v>
          </cell>
          <cell r="G280">
            <v>26807831</v>
          </cell>
          <cell r="H280">
            <v>37178680</v>
          </cell>
        </row>
        <row r="281">
          <cell r="A281" t="str">
            <v>15.052/1</v>
          </cell>
          <cell r="B281" t="str">
            <v>Titreşimli silindirle sıkıştırma yapılması (5-6 ton-6 ton dahil-statik ağırlık ve 10-12 ton dinamik kuvvette titreşimli silindir+paletli traktör,takriben 45-61 DHP)</v>
          </cell>
          <cell r="C281" t="str">
            <v>SA</v>
          </cell>
          <cell r="E281">
            <v>12367336</v>
          </cell>
          <cell r="F281">
            <v>16125481</v>
          </cell>
          <cell r="G281">
            <v>29847930</v>
          </cell>
          <cell r="H281">
            <v>41450462</v>
          </cell>
        </row>
        <row r="282">
          <cell r="A282" t="str">
            <v>15.052/2</v>
          </cell>
          <cell r="B282" t="str">
            <v>Titreşimli silindirle sıkıştırma yapılması (6-7 ton-7 ton dahil-statik ağırlık ve 12-14 ton dinamik kuvvette titreşimli silindir+paletli traktör,takriben 50-60 DHP)</v>
          </cell>
          <cell r="C282" t="str">
            <v>SA</v>
          </cell>
          <cell r="E282">
            <v>14893006</v>
          </cell>
          <cell r="F282">
            <v>19447763</v>
          </cell>
          <cell r="G282">
            <v>35817528</v>
          </cell>
          <cell r="H282">
            <v>49417813</v>
          </cell>
        </row>
        <row r="283">
          <cell r="A283" t="str">
            <v>15.052/3</v>
          </cell>
          <cell r="B283" t="str">
            <v>Titreşimli silindirle sıkıştırma yapılması (7-9 ton-9 ton dahil-statik ağırlık ve 14-18 ton dinamik kuvvette titreşimli silindir+paletli traktör,takriben 56-76 DHP)</v>
          </cell>
          <cell r="C283" t="str">
            <v>SA</v>
          </cell>
          <cell r="E283">
            <v>16865053</v>
          </cell>
          <cell r="F283">
            <v>21975818</v>
          </cell>
          <cell r="G283">
            <v>40865460</v>
          </cell>
          <cell r="H283">
            <v>56502737</v>
          </cell>
        </row>
        <row r="284">
          <cell r="A284" t="str">
            <v>15.052/4</v>
          </cell>
          <cell r="B284" t="str">
            <v>Titreşimli silindirle sıkıştırma yapılması (9-11 ton-11 ton dahil-statik ağırlık ve 18-22 ton dinamik kuvvette titreşimli silindir + paletli traktör, takriben 66-86 DHP)</v>
          </cell>
          <cell r="C284" t="str">
            <v>SA</v>
          </cell>
          <cell r="E284">
            <v>19942317</v>
          </cell>
          <cell r="F284">
            <v>25984430</v>
          </cell>
          <cell r="G284">
            <v>48369277</v>
          </cell>
          <cell r="H284">
            <v>66724960</v>
          </cell>
        </row>
        <row r="285">
          <cell r="A285" t="str">
            <v>15.052/5</v>
          </cell>
          <cell r="B285" t="str">
            <v>Titreşimli silindirle sıkıştırma yapılması (11-13 ton-13 ton dahil-statik ağırlık ve 22-26 ton dinamik kuvvette titreşimli silindir + paletli traktör, takriben 76-96 DHP)</v>
          </cell>
          <cell r="C285" t="str">
            <v>SA</v>
          </cell>
          <cell r="E285">
            <v>22459193</v>
          </cell>
          <cell r="F285">
            <v>29236580</v>
          </cell>
          <cell r="G285">
            <v>54662842</v>
          </cell>
          <cell r="H285">
            <v>75434260</v>
          </cell>
        </row>
        <row r="286">
          <cell r="A286" t="str">
            <v>15.052/6</v>
          </cell>
          <cell r="B286" t="str">
            <v>Titreşimli silindirle sıkıştırma yapılması (13-15 ton-15 ton dahil-statik ağırlık ve 26-30 ton dinamik kuvvette titreşimli silindir + paletli traktör, takriben 90-110 DHP)</v>
          </cell>
          <cell r="C286" t="str">
            <v>SA</v>
          </cell>
          <cell r="E286">
            <v>25447487</v>
          </cell>
          <cell r="F286">
            <v>33072717</v>
          </cell>
          <cell r="G286">
            <v>62283232</v>
          </cell>
          <cell r="H286">
            <v>86105335</v>
          </cell>
        </row>
        <row r="287">
          <cell r="A287" t="str">
            <v>15.053</v>
          </cell>
          <cell r="B287" t="str">
            <v>1 Çift tamburlu keçiayağı silindir ile sıkıştırma yapılması (Takriben 40 DHP paletli traktör çekici ve tamburların toplam ağırlığı asgari 4000 kg. olan, beheri en az 1,20 m. uzunlukta iki tamburlu)</v>
          </cell>
          <cell r="C287" t="str">
            <v>SA</v>
          </cell>
          <cell r="E287">
            <v>6846991</v>
          </cell>
          <cell r="F287">
            <v>9011251</v>
          </cell>
          <cell r="G287">
            <v>15953943</v>
          </cell>
          <cell r="H287">
            <v>22059388</v>
          </cell>
        </row>
        <row r="288">
          <cell r="A288" t="str">
            <v>15.054</v>
          </cell>
          <cell r="B288" t="str">
            <v>2 Çift tamburlu keçiayağı silindir ile sıkıştırma yapılması (Takriben 70 DHP paletli traktör çekici ve tamburların toplam ağırlığı asgari 8000 kg. olan,15.053 deki evsafta 4 tamburlu)</v>
          </cell>
          <cell r="C288" t="str">
            <v>SA</v>
          </cell>
          <cell r="E288">
            <v>10955185</v>
          </cell>
          <cell r="F288">
            <v>14418001</v>
          </cell>
          <cell r="G288">
            <v>25526310</v>
          </cell>
          <cell r="H288">
            <v>35295021</v>
          </cell>
        </row>
        <row r="289">
          <cell r="A289" t="str">
            <v>15.055</v>
          </cell>
          <cell r="B289" t="str">
            <v>3 Çift tamburlu keçiayağı silindir ile sıkıştırma yapılması (Takriben 100 DHP paletli traktör çekici ve tamburların toplam ağırlığı asgari 12000 kg.olan, 15.053 deki evsafta 6 tamburlu)</v>
          </cell>
          <cell r="C289" t="str">
            <v>SA</v>
          </cell>
          <cell r="E289">
            <v>14378681</v>
          </cell>
          <cell r="F289">
            <v>18923627</v>
          </cell>
          <cell r="G289">
            <v>33503281</v>
          </cell>
          <cell r="H289">
            <v>46324716</v>
          </cell>
        </row>
        <row r="290">
          <cell r="A290" t="str">
            <v>15.056</v>
          </cell>
          <cell r="B290" t="str">
            <v>Demir merdaneli silindir  ile sıkıştırma yapılması (8-10 tonluk-10 ton dahil-2 veya 3 tekerlekli)</v>
          </cell>
          <cell r="C290" t="str">
            <v>SA</v>
          </cell>
          <cell r="E290">
            <v>6846991</v>
          </cell>
          <cell r="F290">
            <v>9011251</v>
          </cell>
          <cell r="G290">
            <v>15953943</v>
          </cell>
          <cell r="H290">
            <v>22059388</v>
          </cell>
        </row>
        <row r="291">
          <cell r="A291" t="str">
            <v>15.056/1</v>
          </cell>
          <cell r="B291" t="str">
            <v>Demir merdaneli silindir ile sıkıştırma yapılması (10-14 tonluk-14 ton dahil-2 veya 3 tekerlekli)</v>
          </cell>
          <cell r="C291" t="str">
            <v>SA</v>
          </cell>
          <cell r="E291">
            <v>8685425</v>
          </cell>
          <cell r="F291">
            <v>11376563</v>
          </cell>
          <cell r="G291">
            <v>20610543</v>
          </cell>
          <cell r="H291">
            <v>28554013</v>
          </cell>
        </row>
        <row r="292">
          <cell r="A292" t="str">
            <v>15.057</v>
          </cell>
          <cell r="B292" t="str">
            <v>Buharlı silindir ile  sıkıştırma yapılması</v>
          </cell>
          <cell r="C292" t="str">
            <v>SA</v>
          </cell>
          <cell r="E292">
            <v>6846991</v>
          </cell>
          <cell r="F292">
            <v>9011251</v>
          </cell>
          <cell r="G292">
            <v>15953943</v>
          </cell>
          <cell r="H292">
            <v>22059388</v>
          </cell>
        </row>
        <row r="293">
          <cell r="A293" t="str">
            <v>15.058</v>
          </cell>
          <cell r="B293" t="str">
            <v>Lastik tekerlekli silindir ile sıkıştırma yapılması (7-8 tonluk-8 ton dahil)</v>
          </cell>
          <cell r="C293" t="str">
            <v>SA</v>
          </cell>
          <cell r="E293">
            <v>6846991</v>
          </cell>
          <cell r="F293">
            <v>9011251</v>
          </cell>
          <cell r="G293">
            <v>15953943</v>
          </cell>
          <cell r="H293">
            <v>22059388</v>
          </cell>
        </row>
        <row r="294">
          <cell r="A294" t="str">
            <v>15.058/1</v>
          </cell>
          <cell r="B294" t="str">
            <v>Lastik tekerlekli silindir ile sıkıştırma yapılması</v>
          </cell>
          <cell r="C294" t="str">
            <v>SA</v>
          </cell>
          <cell r="E294">
            <v>12708247</v>
          </cell>
          <cell r="F294">
            <v>16600177</v>
          </cell>
          <cell r="G294">
            <v>30518811</v>
          </cell>
          <cell r="H294">
            <v>42137455</v>
          </cell>
        </row>
        <row r="295">
          <cell r="A295" t="str">
            <v>15.100</v>
          </cell>
          <cell r="B295" t="str">
            <v>Kırılmamış ve elenmemiş çakıllı (Tüvenan) malzeme ile alttemel ve temel malzemesi temini</v>
          </cell>
          <cell r="C295" t="str">
            <v>M3</v>
          </cell>
          <cell r="E295">
            <v>418855</v>
          </cell>
          <cell r="F295">
            <v>557438</v>
          </cell>
          <cell r="G295">
            <v>929885</v>
          </cell>
          <cell r="H295">
            <v>1294140</v>
          </cell>
        </row>
        <row r="296">
          <cell r="A296" t="str">
            <v>15.100/1</v>
          </cell>
          <cell r="B296" t="str">
            <v>Elenmemiş kum veya kum-çakıl (Tüvenan) malzeme temini</v>
          </cell>
          <cell r="C296" t="str">
            <v>M3</v>
          </cell>
          <cell r="E296">
            <v>254355</v>
          </cell>
          <cell r="F296">
            <v>335251</v>
          </cell>
          <cell r="G296">
            <v>590197</v>
          </cell>
          <cell r="H296">
            <v>811640</v>
          </cell>
        </row>
        <row r="297">
          <cell r="A297" t="str">
            <v>15.101</v>
          </cell>
          <cell r="B297" t="str">
            <v>Elenmiş çakıllı malzeme ile 50 mm. (2") lik temel malzemesi temini</v>
          </cell>
          <cell r="C297" t="str">
            <v>M3</v>
          </cell>
          <cell r="E297">
            <v>841763</v>
          </cell>
          <cell r="F297">
            <v>1110460</v>
          </cell>
          <cell r="G297">
            <v>1939241</v>
          </cell>
          <cell r="H297">
            <v>2695380</v>
          </cell>
        </row>
        <row r="298">
          <cell r="A298" t="str">
            <v>15.101/1</v>
          </cell>
          <cell r="B298" t="str">
            <v>Elenmiş çakıllı malzeme ile 50 mm. (2") lik temel malzemesi temini</v>
          </cell>
          <cell r="C298" t="str">
            <v>M3</v>
          </cell>
          <cell r="E298">
            <v>677263</v>
          </cell>
          <cell r="F298">
            <v>888272</v>
          </cell>
          <cell r="G298">
            <v>1599553</v>
          </cell>
          <cell r="H298">
            <v>2212880</v>
          </cell>
        </row>
        <row r="299">
          <cell r="A299" t="str">
            <v>15.102/1-K</v>
          </cell>
          <cell r="B299" t="str">
            <v>Ocak taşından konkasörle kırılmış ve elenmiş alttemel malzemesi temini</v>
          </cell>
          <cell r="C299" t="str">
            <v>M3</v>
          </cell>
          <cell r="E299">
            <v>4747822</v>
          </cell>
          <cell r="F299">
            <v>6335232</v>
          </cell>
          <cell r="G299">
            <v>10366745</v>
          </cell>
          <cell r="H299">
            <v>14473617</v>
          </cell>
        </row>
        <row r="300">
          <cell r="A300" t="str">
            <v>15.102/2-K</v>
          </cell>
          <cell r="B300" t="str">
            <v>Ocak taşından konkasörle kırılmış 50 mm. (2") lik temel malzemesi temini</v>
          </cell>
          <cell r="C300" t="str">
            <v>M3</v>
          </cell>
          <cell r="E300">
            <v>4877860</v>
          </cell>
          <cell r="F300">
            <v>6506432</v>
          </cell>
          <cell r="G300">
            <v>10669306</v>
          </cell>
          <cell r="H300">
            <v>14892073</v>
          </cell>
        </row>
        <row r="301">
          <cell r="A301" t="str">
            <v>15.102/3-K</v>
          </cell>
          <cell r="B301" t="str">
            <v>Ocak taşından konkasörle kırılmış alttemel malzemesi temini</v>
          </cell>
          <cell r="C301" t="str">
            <v>M3</v>
          </cell>
          <cell r="E301">
            <v>4617786</v>
          </cell>
          <cell r="F301">
            <v>6164032</v>
          </cell>
          <cell r="G301">
            <v>10064183</v>
          </cell>
          <cell r="H301">
            <v>14055161</v>
          </cell>
        </row>
        <row r="302">
          <cell r="A302" t="str">
            <v>15.102/3-K-A</v>
          </cell>
          <cell r="B302" t="str">
            <v>Ocak taşından konkasörle kırılmış alttemel malzemesi (Figüre hariç)</v>
          </cell>
          <cell r="C302" t="str">
            <v>TN</v>
          </cell>
          <cell r="E302">
            <v>2783311</v>
          </cell>
          <cell r="F302">
            <v>3713662</v>
          </cell>
          <cell r="G302">
            <v>6077826</v>
          </cell>
          <cell r="H302">
            <v>8482935</v>
          </cell>
        </row>
        <row r="303">
          <cell r="A303" t="str">
            <v>15.102/K</v>
          </cell>
          <cell r="B303" t="str">
            <v>Ocak taşından konkasörle kırılmış ve elenmiş 50 mm. (2") lik temel malzemesi temini</v>
          </cell>
          <cell r="C303" t="str">
            <v>M3</v>
          </cell>
          <cell r="E303">
            <v>5007896</v>
          </cell>
          <cell r="F303">
            <v>6677632</v>
          </cell>
          <cell r="G303">
            <v>10971867</v>
          </cell>
          <cell r="H303">
            <v>15310530</v>
          </cell>
        </row>
        <row r="304">
          <cell r="A304" t="str">
            <v>15.102/K-1</v>
          </cell>
          <cell r="B304" t="str">
            <v>Ocak taşından konkasörle kırılmış ve elenmiş 50 mm.(2") lik temel malzemesi temini</v>
          </cell>
          <cell r="C304" t="str">
            <v>M3</v>
          </cell>
          <cell r="E304">
            <v>4843396</v>
          </cell>
          <cell r="F304">
            <v>6455445</v>
          </cell>
          <cell r="G304">
            <v>10632180</v>
          </cell>
          <cell r="H304">
            <v>14828030</v>
          </cell>
        </row>
        <row r="305">
          <cell r="A305" t="str">
            <v>15.103/1-K</v>
          </cell>
          <cell r="B305" t="str">
            <v>Kazı taşından konkasörle kırılmış ve elenmiş alttemel malzemesi temini</v>
          </cell>
          <cell r="C305" t="str">
            <v>M3</v>
          </cell>
          <cell r="E305">
            <v>3256962</v>
          </cell>
          <cell r="F305">
            <v>4362105</v>
          </cell>
          <cell r="G305">
            <v>6988173</v>
          </cell>
          <cell r="H305">
            <v>9829188</v>
          </cell>
        </row>
        <row r="306">
          <cell r="A306" t="str">
            <v>15.103/2-K</v>
          </cell>
          <cell r="B306" t="str">
            <v>Kazı taşından konkasörle kırılmış 50 mm. (2") lik temel malzemesi temini</v>
          </cell>
          <cell r="C306" t="str">
            <v>M3</v>
          </cell>
          <cell r="E306">
            <v>3387000</v>
          </cell>
          <cell r="F306">
            <v>4533305</v>
          </cell>
          <cell r="G306">
            <v>7290735</v>
          </cell>
          <cell r="H306">
            <v>10247645</v>
          </cell>
        </row>
        <row r="307">
          <cell r="A307" t="str">
            <v>15.103/3-K</v>
          </cell>
          <cell r="B307" t="str">
            <v>Kazı taşından konkasörle kırılmış alttemel malzemesi temini</v>
          </cell>
          <cell r="C307" t="str">
            <v>M3</v>
          </cell>
          <cell r="E307">
            <v>3126926</v>
          </cell>
          <cell r="F307">
            <v>4190905</v>
          </cell>
          <cell r="G307">
            <v>6685612</v>
          </cell>
          <cell r="H307">
            <v>9410732</v>
          </cell>
        </row>
        <row r="308">
          <cell r="A308" t="str">
            <v>15.103/K</v>
          </cell>
          <cell r="B308" t="str">
            <v>Kazı taşından konkasörle kırılmış ve elenmiş 50 mm. (2") lik temel malzemesi temini</v>
          </cell>
          <cell r="C308" t="str">
            <v>M3</v>
          </cell>
          <cell r="E308">
            <v>3517036</v>
          </cell>
          <cell r="F308">
            <v>4704505</v>
          </cell>
          <cell r="G308">
            <v>7593296</v>
          </cell>
          <cell r="H308">
            <v>10666101</v>
          </cell>
        </row>
        <row r="309">
          <cell r="A309" t="str">
            <v>15.104/1-K</v>
          </cell>
          <cell r="B309" t="str">
            <v>Elenmemiş çakıllı malzemeden, konkasörle kırılmış ve elenmiş alttemel malzemesi temini</v>
          </cell>
          <cell r="C309" t="str">
            <v>M3</v>
          </cell>
          <cell r="E309">
            <v>1222432</v>
          </cell>
          <cell r="F309">
            <v>1603115</v>
          </cell>
          <cell r="G309">
            <v>2777728</v>
          </cell>
          <cell r="H309">
            <v>3814365</v>
          </cell>
        </row>
        <row r="310">
          <cell r="A310" t="str">
            <v>15.104/2-K</v>
          </cell>
          <cell r="B310" t="str">
            <v>Elenmemiş çakıllı malzemeden, konkasörle kırılmış 50 mm. (2") lik temel malzemesi temini</v>
          </cell>
          <cell r="C310" t="str">
            <v>M3</v>
          </cell>
          <cell r="E310">
            <v>1352470</v>
          </cell>
          <cell r="F310">
            <v>1774315</v>
          </cell>
          <cell r="G310">
            <v>3080290</v>
          </cell>
          <cell r="H310">
            <v>4232822</v>
          </cell>
        </row>
        <row r="311">
          <cell r="A311" t="str">
            <v>15.104/3-K</v>
          </cell>
          <cell r="B311" t="str">
            <v>Elenmemiş çakıllı malzemeden, konkasörle kırılmış alttemel malzemesi temini</v>
          </cell>
          <cell r="C311" t="str">
            <v>M3</v>
          </cell>
          <cell r="E311">
            <v>1092396</v>
          </cell>
          <cell r="F311">
            <v>1431915</v>
          </cell>
          <cell r="G311">
            <v>2475167</v>
          </cell>
          <cell r="H311">
            <v>3395908</v>
          </cell>
        </row>
        <row r="312">
          <cell r="A312" t="str">
            <v>15.104/K</v>
          </cell>
          <cell r="B312" t="str">
            <v>Elenmemiş çakıllı malzemeden konkasörle kırılmış ve elenmiş 50 mm. (2") lik temel malzemesi temini</v>
          </cell>
          <cell r="C312" t="str">
            <v>M3</v>
          </cell>
          <cell r="E312">
            <v>1482506</v>
          </cell>
          <cell r="F312">
            <v>1945515</v>
          </cell>
          <cell r="G312">
            <v>3382851</v>
          </cell>
          <cell r="H312">
            <v>4651278</v>
          </cell>
        </row>
        <row r="313">
          <cell r="A313" t="str">
            <v>15.105/1-K</v>
          </cell>
          <cell r="B313" t="str">
            <v>Elenmiş çakıldan konkasörle kırılmış 50 mm.(2") lik temel malzemesi temini</v>
          </cell>
          <cell r="C313" t="str">
            <v>M3</v>
          </cell>
          <cell r="E313">
            <v>2035452</v>
          </cell>
          <cell r="F313">
            <v>2669736</v>
          </cell>
          <cell r="G313">
            <v>4694768</v>
          </cell>
          <cell r="H313">
            <v>6470975</v>
          </cell>
        </row>
        <row r="314">
          <cell r="A314" t="str">
            <v>15.105/K</v>
          </cell>
          <cell r="B314" t="str">
            <v>Elenmiş çakıldan konkasörle kırılmış ve elenmiş 50 mm.(2") lik temel malzemesi temini</v>
          </cell>
          <cell r="C314" t="str">
            <v>M3</v>
          </cell>
          <cell r="E314">
            <v>2165488</v>
          </cell>
          <cell r="F314">
            <v>2840936</v>
          </cell>
          <cell r="G314">
            <v>4997330</v>
          </cell>
          <cell r="H314">
            <v>6889431</v>
          </cell>
        </row>
        <row r="315">
          <cell r="A315" t="str">
            <v>15.110</v>
          </cell>
          <cell r="B315" t="str">
            <v>Elenmiş çakıllı malzeme ile 25 mm.(1") lik temel malzemesi temini</v>
          </cell>
          <cell r="C315" t="str">
            <v>M3</v>
          </cell>
          <cell r="E315">
            <v>1202413</v>
          </cell>
          <cell r="F315">
            <v>1597335</v>
          </cell>
          <cell r="G315">
            <v>2683928</v>
          </cell>
          <cell r="H315">
            <v>3752880</v>
          </cell>
        </row>
        <row r="316">
          <cell r="A316" t="str">
            <v>15.110/1</v>
          </cell>
          <cell r="B316" t="str">
            <v>Elenmiş kum veya kum-çakıl (Granülometrik) malzeme temini</v>
          </cell>
          <cell r="C316" t="str">
            <v>M3</v>
          </cell>
          <cell r="E316">
            <v>1037913</v>
          </cell>
          <cell r="F316">
            <v>1375147</v>
          </cell>
          <cell r="G316">
            <v>2344241</v>
          </cell>
          <cell r="H316">
            <v>3270380</v>
          </cell>
        </row>
        <row r="317">
          <cell r="A317" t="str">
            <v>15.111/1-K</v>
          </cell>
          <cell r="B317" t="str">
            <v>Elenmemiş çakıllı malzemeden, konkasörle kırılmış 25 mm. (1") lik temel malzemesi temini</v>
          </cell>
          <cell r="C317" t="str">
            <v>M3</v>
          </cell>
          <cell r="E317">
            <v>1895171</v>
          </cell>
          <cell r="F317">
            <v>2500870</v>
          </cell>
          <cell r="G317">
            <v>4248562</v>
          </cell>
          <cell r="H317">
            <v>5876161</v>
          </cell>
        </row>
        <row r="318">
          <cell r="A318" t="str">
            <v>15.111/K</v>
          </cell>
          <cell r="B318" t="str">
            <v>Elenmemiş çakıllı malzemeden, konkasörle kırılmış ve elenmiş 25 mm. (1") lik temel malzemesi temini</v>
          </cell>
          <cell r="C318" t="str">
            <v>M3</v>
          </cell>
          <cell r="E318">
            <v>2103230</v>
          </cell>
          <cell r="F318">
            <v>2774790</v>
          </cell>
          <cell r="G318">
            <v>4732661</v>
          </cell>
          <cell r="H318">
            <v>6545691</v>
          </cell>
        </row>
        <row r="319">
          <cell r="A319" t="str">
            <v>15.111/K-1</v>
          </cell>
          <cell r="B319" t="str">
            <v>Elenmemiş çakıllı malzemeden konkasörle kırılmış ve elenmiş 25 mm.(1") lik temel veya banket malzemesi temini</v>
          </cell>
          <cell r="C319" t="str">
            <v>M3</v>
          </cell>
          <cell r="E319">
            <v>1938730</v>
          </cell>
          <cell r="F319">
            <v>2552602</v>
          </cell>
          <cell r="G319">
            <v>4392973</v>
          </cell>
          <cell r="H319">
            <v>6063191</v>
          </cell>
        </row>
        <row r="320">
          <cell r="A320" t="str">
            <v>15.112/1-K</v>
          </cell>
          <cell r="B320" t="str">
            <v>Elenmiş çakıldan konkasörle kırılmış 25 mm. (1") lik temel malzemesi temini</v>
          </cell>
          <cell r="C320" t="str">
            <v>M3</v>
          </cell>
          <cell r="E320">
            <v>2578153</v>
          </cell>
          <cell r="F320">
            <v>3396291</v>
          </cell>
          <cell r="G320">
            <v>5863041</v>
          </cell>
          <cell r="H320">
            <v>8114313</v>
          </cell>
        </row>
        <row r="321">
          <cell r="A321" t="str">
            <v>15.112/K</v>
          </cell>
          <cell r="B321" t="str">
            <v>Elenmiş çakıldan konkasörle kırılmış ve elenmiş 25 mm. (1") lik temel malzemesi temini</v>
          </cell>
          <cell r="C321" t="str">
            <v>M3</v>
          </cell>
          <cell r="E321">
            <v>2786212</v>
          </cell>
          <cell r="F321">
            <v>3670211</v>
          </cell>
          <cell r="G321">
            <v>6347140</v>
          </cell>
          <cell r="H321">
            <v>8783845</v>
          </cell>
        </row>
        <row r="322">
          <cell r="A322" t="str">
            <v>15.113/1-K</v>
          </cell>
          <cell r="B322" t="str">
            <v>Ocak taşından konkasörle kırılmış 25 mm. (1") lik temel malzemesi temini</v>
          </cell>
          <cell r="C322" t="str">
            <v>M3</v>
          </cell>
          <cell r="E322">
            <v>5420561</v>
          </cell>
          <cell r="F322">
            <v>7232987</v>
          </cell>
          <cell r="G322">
            <v>11837578</v>
          </cell>
          <cell r="H322">
            <v>16535412</v>
          </cell>
        </row>
        <row r="323">
          <cell r="A323" t="str">
            <v>15.113/K</v>
          </cell>
          <cell r="B323" t="str">
            <v>Ocak taşından konkasörle kırılmış ve elenmiş 25 mm. (1") lik temel malzemesi temini</v>
          </cell>
          <cell r="C323" t="str">
            <v>M3</v>
          </cell>
          <cell r="E323">
            <v>5628620</v>
          </cell>
          <cell r="F323">
            <v>7506907</v>
          </cell>
          <cell r="G323">
            <v>12321677</v>
          </cell>
          <cell r="H323">
            <v>17204943</v>
          </cell>
        </row>
        <row r="324">
          <cell r="A324" t="str">
            <v>15.113/K-1</v>
          </cell>
          <cell r="B324" t="str">
            <v>Ocak taşından konkasörle kırılmış ve elenmiş 25 mm.(1") lik temel veya banket malzemesi temini</v>
          </cell>
          <cell r="C324" t="str">
            <v>M3</v>
          </cell>
          <cell r="E324">
            <v>5464120</v>
          </cell>
          <cell r="F324">
            <v>7284720</v>
          </cell>
          <cell r="G324">
            <v>11981990</v>
          </cell>
          <cell r="H324">
            <v>16722443</v>
          </cell>
        </row>
        <row r="325">
          <cell r="A325" t="str">
            <v>15.114/1-K</v>
          </cell>
          <cell r="B325" t="str">
            <v>Kazı taşından konkasörle kırılmış 25 mm.(1") lik temel malzemesi temini</v>
          </cell>
          <cell r="C325" t="str">
            <v>M3</v>
          </cell>
          <cell r="E325">
            <v>3929701</v>
          </cell>
          <cell r="F325">
            <v>5259860</v>
          </cell>
          <cell r="G325">
            <v>8459007</v>
          </cell>
          <cell r="H325">
            <v>11890983</v>
          </cell>
        </row>
        <row r="326">
          <cell r="A326" t="str">
            <v>15.114/K</v>
          </cell>
          <cell r="B326" t="str">
            <v>Kazı taşından konkasörle kırılmış ve elenmiş 25 mm. (1") lik temel malzemesi temini</v>
          </cell>
          <cell r="C326" t="str">
            <v>M3</v>
          </cell>
          <cell r="E326">
            <v>4137760</v>
          </cell>
          <cell r="F326">
            <v>5533780</v>
          </cell>
          <cell r="G326">
            <v>8943106</v>
          </cell>
          <cell r="H326">
            <v>12560515</v>
          </cell>
        </row>
        <row r="327">
          <cell r="A327" t="str">
            <v>15.120/K</v>
          </cell>
          <cell r="B327" t="str">
            <v>Elenmemiş çakıllı malzemeden istenilen tiplerde konkasörle kırılmış ve elenmiş asfalt mıcırı temini</v>
          </cell>
          <cell r="C327" t="str">
            <v>M3</v>
          </cell>
          <cell r="E327">
            <v>2648363</v>
          </cell>
          <cell r="F327">
            <v>3486297</v>
          </cell>
          <cell r="G327">
            <v>6039957</v>
          </cell>
          <cell r="H327">
            <v>8373916</v>
          </cell>
        </row>
        <row r="328">
          <cell r="A328" t="str">
            <v>15.121/K</v>
          </cell>
          <cell r="B328" t="str">
            <v>Elenmiş çakıldan istenilen tiplerde konkasörle kırılmış ve elenmiş asfalt mıcırı temini</v>
          </cell>
          <cell r="C328" t="str">
            <v>M3</v>
          </cell>
          <cell r="E328">
            <v>3331346</v>
          </cell>
          <cell r="F328">
            <v>4381718</v>
          </cell>
          <cell r="G328">
            <v>7654436</v>
          </cell>
          <cell r="H328">
            <v>10612070</v>
          </cell>
        </row>
        <row r="329">
          <cell r="A329" t="str">
            <v>15.122/K</v>
          </cell>
          <cell r="B329" t="str">
            <v>Ocak taşından istenilen tiplerde konkasörle kırılmış ve elenmiş asfalt mıcırı temini</v>
          </cell>
          <cell r="C329" t="str">
            <v>M3</v>
          </cell>
          <cell r="D329">
            <v>51512</v>
          </cell>
          <cell r="E329">
            <v>6173753</v>
          </cell>
          <cell r="F329">
            <v>8218415</v>
          </cell>
          <cell r="G329">
            <v>13628973</v>
          </cell>
          <cell r="H329">
            <v>19033168</v>
          </cell>
        </row>
        <row r="330">
          <cell r="A330" t="str">
            <v>15.123/K</v>
          </cell>
          <cell r="B330" t="str">
            <v>Kazı taşından istenilen tiplerde konkasörle kırılmış ve elenmiş asfalt mıcırı temini</v>
          </cell>
          <cell r="C330" t="str">
            <v>M3</v>
          </cell>
          <cell r="E330">
            <v>4682893</v>
          </cell>
          <cell r="F330">
            <v>6245287</v>
          </cell>
          <cell r="G330">
            <v>10250402</v>
          </cell>
          <cell r="H330">
            <v>14388740</v>
          </cell>
        </row>
        <row r="331">
          <cell r="A331" t="str">
            <v>15.130</v>
          </cell>
          <cell r="B331" t="str">
            <v>Kum ve çakılın irilerinin ayıklanarak istifi</v>
          </cell>
          <cell r="C331" t="str">
            <v>M3</v>
          </cell>
          <cell r="E331">
            <v>1513400</v>
          </cell>
          <cell r="F331">
            <v>2044125</v>
          </cell>
          <cell r="G331">
            <v>3125125</v>
          </cell>
          <cell r="H331">
            <v>4439000</v>
          </cell>
        </row>
        <row r="332">
          <cell r="A332" t="str">
            <v>15.130/1</v>
          </cell>
          <cell r="B332" t="str">
            <v>Kum ve çakılın irilerinin ayıklanması</v>
          </cell>
          <cell r="C332" t="str">
            <v>M3</v>
          </cell>
          <cell r="E332">
            <v>1348900</v>
          </cell>
          <cell r="F332">
            <v>1821937</v>
          </cell>
          <cell r="G332">
            <v>2785437</v>
          </cell>
          <cell r="H332">
            <v>3956500</v>
          </cell>
        </row>
        <row r="333">
          <cell r="A333" t="str">
            <v>15.131/K</v>
          </cell>
          <cell r="B333" t="str">
            <v>Elek artığı malzeme (Ocakta)</v>
          </cell>
          <cell r="C333" t="str">
            <v>M3</v>
          </cell>
          <cell r="E333">
            <v>327485</v>
          </cell>
          <cell r="F333">
            <v>431818</v>
          </cell>
          <cell r="G333">
            <v>722628</v>
          </cell>
          <cell r="H333">
            <v>995991</v>
          </cell>
        </row>
        <row r="334">
          <cell r="A334" t="str">
            <v>15.140</v>
          </cell>
          <cell r="B334" t="str">
            <v>Makine ile serme (Kırmataş, kum, çakıl ve benzeri malzeme)</v>
          </cell>
          <cell r="C334" t="str">
            <v>M3</v>
          </cell>
          <cell r="E334">
            <v>127548</v>
          </cell>
          <cell r="F334">
            <v>167533</v>
          </cell>
          <cell r="G334">
            <v>300676</v>
          </cell>
          <cell r="H334">
            <v>411817</v>
          </cell>
        </row>
        <row r="335">
          <cell r="A335" t="str">
            <v>15.140/1</v>
          </cell>
          <cell r="B335" t="str">
            <v>El ile serme (Kırmataş, kum, çakıl ve benzeri malzeme)</v>
          </cell>
          <cell r="C335" t="str">
            <v>M3</v>
          </cell>
          <cell r="E335">
            <v>394800</v>
          </cell>
          <cell r="F335">
            <v>533250</v>
          </cell>
          <cell r="G335">
            <v>815250</v>
          </cell>
          <cell r="H335">
            <v>1158000</v>
          </cell>
        </row>
        <row r="336">
          <cell r="A336" t="str">
            <v>15.141</v>
          </cell>
          <cell r="B336" t="str">
            <v>Makine ile karıştırma(Kırmataş,kum,çakıl ve benzeri malzeme)</v>
          </cell>
          <cell r="C336" t="str">
            <v>M3</v>
          </cell>
          <cell r="E336">
            <v>153057</v>
          </cell>
          <cell r="F336">
            <v>201040</v>
          </cell>
          <cell r="G336">
            <v>360812</v>
          </cell>
          <cell r="H336">
            <v>493425</v>
          </cell>
        </row>
        <row r="337">
          <cell r="A337" t="str">
            <v>15.141/1</v>
          </cell>
          <cell r="B337" t="str">
            <v>El ile karıştırma (Kırmataş, kum, çakıl ve benzeri malzeme)</v>
          </cell>
          <cell r="C337" t="str">
            <v>M3</v>
          </cell>
          <cell r="E337">
            <v>493500</v>
          </cell>
          <cell r="F337">
            <v>666562</v>
          </cell>
          <cell r="G337">
            <v>1019062</v>
          </cell>
          <cell r="H337">
            <v>1447500</v>
          </cell>
        </row>
        <row r="338">
          <cell r="A338" t="str">
            <v>15.142</v>
          </cell>
          <cell r="B338" t="str">
            <v>Makine ile yükleme (Kırmataş, kum, çakıl ve benzeri malzeme)</v>
          </cell>
          <cell r="C338" t="str">
            <v>M3</v>
          </cell>
          <cell r="E338">
            <v>97885</v>
          </cell>
          <cell r="F338">
            <v>128280</v>
          </cell>
          <cell r="G338">
            <v>232325</v>
          </cell>
          <cell r="H338">
            <v>319470</v>
          </cell>
        </row>
        <row r="339">
          <cell r="A339" t="str">
            <v>15.145/K</v>
          </cell>
          <cell r="B339" t="str">
            <v>El ile yükleme, boşaltma ve figüre (Kum, çakıl, kil,kırmataş, tüvenan, stabilize ve benzeri malzeme)</v>
          </cell>
          <cell r="C339" t="str">
            <v>M3</v>
          </cell>
          <cell r="E339">
            <v>1151500</v>
          </cell>
          <cell r="F339">
            <v>1555312</v>
          </cell>
          <cell r="G339">
            <v>2377812</v>
          </cell>
          <cell r="H339">
            <v>3377500</v>
          </cell>
        </row>
        <row r="340">
          <cell r="A340" t="str">
            <v>15.146/K</v>
          </cell>
          <cell r="B340" t="str">
            <v>Makine ile yükleme boşaltma ve figüre (Kum, çakıl, kil, kırmataş, tüvenan, stabilize ve benzeri malzeme)</v>
          </cell>
          <cell r="C340" t="str">
            <v>M3</v>
          </cell>
          <cell r="E340">
            <v>295285</v>
          </cell>
          <cell r="F340">
            <v>394905</v>
          </cell>
          <cell r="G340">
            <v>639950</v>
          </cell>
          <cell r="H340">
            <v>898740</v>
          </cell>
        </row>
        <row r="341">
          <cell r="A341" t="str">
            <v>15.147/K</v>
          </cell>
          <cell r="B341" t="str">
            <v>El ile yükleme, boşaltma ve figüre (08.021/K ve 08.024/K daki moloz taş)</v>
          </cell>
          <cell r="C341" t="str">
            <v>M3</v>
          </cell>
          <cell r="E341">
            <v>987000</v>
          </cell>
          <cell r="F341">
            <v>1333125</v>
          </cell>
          <cell r="G341">
            <v>2038125</v>
          </cell>
          <cell r="H341">
            <v>2895000</v>
          </cell>
        </row>
        <row r="342">
          <cell r="A342" t="str">
            <v>15.148/K</v>
          </cell>
          <cell r="B342" t="str">
            <v>Makine ile yükleme, boşaltma ve figüre (08.021/K ve 08.024/K daki moloz taş)</v>
          </cell>
          <cell r="C342" t="str">
            <v>M3</v>
          </cell>
          <cell r="E342">
            <v>623227</v>
          </cell>
          <cell r="F342">
            <v>836572</v>
          </cell>
          <cell r="G342">
            <v>1326963</v>
          </cell>
          <cell r="H342">
            <v>1871252</v>
          </cell>
        </row>
        <row r="343">
          <cell r="A343" t="str">
            <v>15.150/K</v>
          </cell>
          <cell r="B343" t="str">
            <v>Figüre (Kum, çakıl, kırmataş, tüvenan, stabilize, kil ve benzeri malzeme)</v>
          </cell>
          <cell r="C343" t="str">
            <v>M3</v>
          </cell>
          <cell r="E343">
            <v>164500</v>
          </cell>
          <cell r="F343">
            <v>222187</v>
          </cell>
          <cell r="G343">
            <v>339687</v>
          </cell>
          <cell r="H343">
            <v>482500</v>
          </cell>
        </row>
        <row r="344">
          <cell r="A344" t="str">
            <v>15.151/K</v>
          </cell>
          <cell r="B344" t="str">
            <v>Figüre (08.021/K ve 08.024/K daki moloz taş)</v>
          </cell>
          <cell r="C344" t="str">
            <v>M3</v>
          </cell>
          <cell r="E344">
            <v>329000</v>
          </cell>
          <cell r="F344">
            <v>444375</v>
          </cell>
          <cell r="G344">
            <v>679375</v>
          </cell>
          <cell r="H344">
            <v>965000</v>
          </cell>
        </row>
        <row r="345">
          <cell r="A345" t="str">
            <v>15.200</v>
          </cell>
          <cell r="B345" t="str">
            <v>Tip II  servis yolu (Her cins ve klastaki zeminde)</v>
          </cell>
          <cell r="C345" t="str">
            <v>KM</v>
          </cell>
          <cell r="E345">
            <v>627584906</v>
          </cell>
          <cell r="F345">
            <v>820302312</v>
          </cell>
          <cell r="G345">
            <v>1506854437</v>
          </cell>
          <cell r="H345">
            <v>2066447125</v>
          </cell>
        </row>
        <row r="346">
          <cell r="A346" t="str">
            <v>16.002/K</v>
          </cell>
          <cell r="B346" t="str">
            <v>Her dozda demirsiz beton</v>
          </cell>
          <cell r="C346" t="str">
            <v>M3</v>
          </cell>
          <cell r="E346">
            <v>11951950</v>
          </cell>
          <cell r="F346">
            <v>16127452</v>
          </cell>
          <cell r="G346">
            <v>24798393</v>
          </cell>
          <cell r="H346">
            <v>35184145</v>
          </cell>
        </row>
        <row r="347">
          <cell r="A347" t="str">
            <v>16.002/K-1</v>
          </cell>
          <cell r="B347" t="str">
            <v>Her dozda demirsiz beton (Beton santralı ile)</v>
          </cell>
          <cell r="C347" t="str">
            <v>M3</v>
          </cell>
          <cell r="E347">
            <v>11707455</v>
          </cell>
          <cell r="F347">
            <v>15781677</v>
          </cell>
          <cell r="G347">
            <v>25001851</v>
          </cell>
          <cell r="H347">
            <v>35205173</v>
          </cell>
        </row>
        <row r="348">
          <cell r="A348" t="str">
            <v>16.023/K</v>
          </cell>
          <cell r="B348" t="str">
            <v>Her dozda demirli beton</v>
          </cell>
          <cell r="C348" t="str">
            <v>M3</v>
          </cell>
          <cell r="E348">
            <v>12733842</v>
          </cell>
          <cell r="F348">
            <v>17182467</v>
          </cell>
          <cell r="G348">
            <v>26419462</v>
          </cell>
          <cell r="H348">
            <v>37484683</v>
          </cell>
        </row>
        <row r="349">
          <cell r="A349" t="str">
            <v>16.023/K-1</v>
          </cell>
          <cell r="B349" t="str">
            <v>Her dozda demirli beton (Beton santralı ile)</v>
          </cell>
          <cell r="C349" t="str">
            <v>M3</v>
          </cell>
          <cell r="E349">
            <v>13555743</v>
          </cell>
          <cell r="F349">
            <v>18276445</v>
          </cell>
          <cell r="G349">
            <v>28830621</v>
          </cell>
          <cell r="H349">
            <v>40639900</v>
          </cell>
        </row>
        <row r="350">
          <cell r="A350" t="str">
            <v>16.068/K</v>
          </cell>
          <cell r="B350" t="str">
            <v>Köprülerde Ø 60 cm. çapında yerinde dökme kazık yapılması [0-16 m. (16 m. dahil) boydaki kazıklar için]</v>
          </cell>
          <cell r="C350" t="str">
            <v>MT</v>
          </cell>
          <cell r="E350">
            <v>28367052</v>
          </cell>
          <cell r="F350">
            <v>37606741</v>
          </cell>
          <cell r="G350">
            <v>64042411</v>
          </cell>
          <cell r="H350">
            <v>88779108</v>
          </cell>
        </row>
        <row r="351">
          <cell r="A351" t="str">
            <v>16.068/K-1</v>
          </cell>
          <cell r="B351" t="str">
            <v>Ø 60 cm. çapında yerinde dökme kazık yapılması [0-16 m. (16 m. dahil) boydaki kazıklar için] (Köprüler ve heyelanlı bölgeler hariç)</v>
          </cell>
          <cell r="C351" t="str">
            <v>MT</v>
          </cell>
          <cell r="E351">
            <v>18911368</v>
          </cell>
          <cell r="F351">
            <v>25071161</v>
          </cell>
          <cell r="G351">
            <v>42694941</v>
          </cell>
          <cell r="H351">
            <v>59186072</v>
          </cell>
        </row>
        <row r="352">
          <cell r="A352" t="str">
            <v>16.068/K-1B</v>
          </cell>
          <cell r="B352" t="str">
            <v>Köprülerde Ø 60 cm. çapında yerinde dökme kazık yapılması [0-16 m. (16 m. dahil) boydaki kazıklar için] (Beton santralı ile)</v>
          </cell>
          <cell r="C352" t="str">
            <v>MT</v>
          </cell>
          <cell r="E352">
            <v>28236862</v>
          </cell>
          <cell r="F352">
            <v>37421176</v>
          </cell>
          <cell r="G352">
            <v>64150852</v>
          </cell>
          <cell r="H352">
            <v>88785683</v>
          </cell>
        </row>
        <row r="353">
          <cell r="A353" t="str">
            <v>16.068/K-2</v>
          </cell>
          <cell r="B353" t="str">
            <v>Heyelanlı bölgelerde Ø 60 cm. çapında yerinde dökme kazık yapılması [0-16 m. (16 m. dahil) boydaki kazıklar için]</v>
          </cell>
          <cell r="C353" t="str">
            <v>MT</v>
          </cell>
          <cell r="E353">
            <v>28367052</v>
          </cell>
          <cell r="F353">
            <v>37606741</v>
          </cell>
          <cell r="G353">
            <v>64042411</v>
          </cell>
          <cell r="H353">
            <v>88779108</v>
          </cell>
        </row>
        <row r="354">
          <cell r="A354" t="str">
            <v>16.069/K</v>
          </cell>
          <cell r="B354" t="str">
            <v>Köprülerde Ø 60 cm. çapında yerinde dökme kazık yapılması [16,01-24 m. (24 m. dahil) boydaki kazıklar için]</v>
          </cell>
          <cell r="C354" t="str">
            <v>MT</v>
          </cell>
          <cell r="E354">
            <v>31414463</v>
          </cell>
          <cell r="F354">
            <v>41623785</v>
          </cell>
          <cell r="G354">
            <v>71109177</v>
          </cell>
          <cell r="H354">
            <v>98509902</v>
          </cell>
        </row>
        <row r="355">
          <cell r="A355" t="str">
            <v>16.069/K-1</v>
          </cell>
          <cell r="B355" t="str">
            <v>Ø 60 cm. çapında yerinde dökme kazık yapılması [16,01-24 m. (24 m. dahil) boydaki kazıklar için] (Köprüler ve heyelanlı bölgeler hariç)</v>
          </cell>
          <cell r="C355" t="str">
            <v>MT</v>
          </cell>
          <cell r="E355">
            <v>20942976</v>
          </cell>
          <cell r="F355">
            <v>27749190</v>
          </cell>
          <cell r="G355">
            <v>47406118</v>
          </cell>
          <cell r="H355">
            <v>65673268</v>
          </cell>
        </row>
        <row r="356">
          <cell r="A356" t="str">
            <v>16.069/K-1B</v>
          </cell>
          <cell r="B356" t="str">
            <v>Köprülerde Ø 60 cm. çapında yerinde dökme kazık yapılması [16,01-24 m. (24 m. dahil) boydaki kazıklar için] (Beton santralı ile)</v>
          </cell>
          <cell r="C356" t="str">
            <v>MT</v>
          </cell>
          <cell r="E356">
            <v>31284273</v>
          </cell>
          <cell r="F356">
            <v>41438220</v>
          </cell>
          <cell r="G356">
            <v>71217618</v>
          </cell>
          <cell r="H356">
            <v>98516478</v>
          </cell>
        </row>
        <row r="357">
          <cell r="A357" t="str">
            <v>16.069/K-2</v>
          </cell>
          <cell r="B357" t="str">
            <v>Heyelanlı bölgelerde Ø 60 cm. çapında yerinde dökme kazık yapılması [16,01-24 m. (24 m. dahil) boydaki kazıklar için]</v>
          </cell>
          <cell r="C357" t="str">
            <v>MT</v>
          </cell>
          <cell r="E357">
            <v>31414463</v>
          </cell>
          <cell r="F357">
            <v>41623785</v>
          </cell>
          <cell r="G357">
            <v>71109177</v>
          </cell>
          <cell r="H357">
            <v>98509902</v>
          </cell>
        </row>
        <row r="358">
          <cell r="A358" t="str">
            <v>16.070/K</v>
          </cell>
          <cell r="B358" t="str">
            <v>Köprülerde Ø 60 cm. çapında yerinde dökme kazık yapılması [24,01-32 m. (32 m. dahil) boydaki kazıklar için]</v>
          </cell>
          <cell r="C358" t="str">
            <v>MT</v>
          </cell>
          <cell r="E358">
            <v>33446071</v>
          </cell>
          <cell r="F358">
            <v>44301815</v>
          </cell>
          <cell r="G358">
            <v>75820357</v>
          </cell>
          <cell r="H358">
            <v>104997101</v>
          </cell>
        </row>
        <row r="359">
          <cell r="A359" t="str">
            <v>16.070/K-1</v>
          </cell>
          <cell r="B359" t="str">
            <v>Ø 60 cm. çapında yerinde dökme kazık yapılması [24,01-32 m. (32 m. dahil) boydaki kazıklar için] (Köprüler ve heyelanlı bölgeler hariç)</v>
          </cell>
          <cell r="C359" t="str">
            <v>MT</v>
          </cell>
          <cell r="E359">
            <v>22297381</v>
          </cell>
          <cell r="F359">
            <v>29534543</v>
          </cell>
          <cell r="G359">
            <v>50546905</v>
          </cell>
          <cell r="H359">
            <v>69998067</v>
          </cell>
        </row>
        <row r="360">
          <cell r="A360" t="str">
            <v>16.070/K-1B</v>
          </cell>
          <cell r="B360" t="str">
            <v>Köprülerde Ø 60 cm. çapında yerinde dökme kazık yapılması [24,01-32 m. (32 m. dahil) boydaki kazıklar için] (Beton santralı ile)</v>
          </cell>
          <cell r="C360" t="str">
            <v>MT</v>
          </cell>
          <cell r="E360">
            <v>33315881</v>
          </cell>
          <cell r="F360">
            <v>44116250</v>
          </cell>
          <cell r="G360">
            <v>75928797</v>
          </cell>
          <cell r="H360">
            <v>105003676</v>
          </cell>
        </row>
        <row r="361">
          <cell r="A361" t="str">
            <v>16.070/K-2</v>
          </cell>
          <cell r="B361" t="str">
            <v>Heyelanlı bölgelerde Ø 60 cm. çapında yerinde dökme kazık yapılması [24,01-32 m. (32 m. dahil) boydaki kazıklar için]</v>
          </cell>
          <cell r="C361" t="str">
            <v>MT</v>
          </cell>
          <cell r="E361">
            <v>33446071</v>
          </cell>
          <cell r="F361">
            <v>44301815</v>
          </cell>
          <cell r="G361">
            <v>75820357</v>
          </cell>
          <cell r="H361">
            <v>104997101</v>
          </cell>
        </row>
        <row r="362">
          <cell r="A362" t="str">
            <v>16.071/K</v>
          </cell>
          <cell r="B362" t="str">
            <v>Köprülerde Ø 80 cm. çapında yerinde dökme kazık yapılması [0-16 m. (16 m. dahil) boydaki kazıklar için]</v>
          </cell>
          <cell r="C362" t="str">
            <v>MT</v>
          </cell>
          <cell r="E362">
            <v>49307705</v>
          </cell>
          <cell r="F362">
            <v>65359185</v>
          </cell>
          <cell r="G362">
            <v>111386497</v>
          </cell>
          <cell r="H362">
            <v>154384950</v>
          </cell>
        </row>
        <row r="363">
          <cell r="A363" t="str">
            <v>16.071/K-1</v>
          </cell>
          <cell r="B363" t="str">
            <v>Ø 80 cm. çapında yerinde dökme kazık yapılması [0-16 m. (16 m. dahil) boydaki kazıklar için] (Köprüler ve heyelanlı bölgeler hariç)</v>
          </cell>
          <cell r="C363" t="str">
            <v>MT</v>
          </cell>
          <cell r="E363">
            <v>32871803</v>
          </cell>
          <cell r="F363">
            <v>43572790</v>
          </cell>
          <cell r="G363">
            <v>74257665</v>
          </cell>
          <cell r="H363">
            <v>102923300</v>
          </cell>
        </row>
        <row r="364">
          <cell r="A364" t="str">
            <v>16.071/K-1B</v>
          </cell>
          <cell r="B364" t="str">
            <v>Köprülerde Ø 80 cm. çapında yerinde dökme kazık yapılması [0-16 m. (16 m. dahil) boydaki kazıklar için] (Beton santralı ile)</v>
          </cell>
          <cell r="C364" t="str">
            <v>MT</v>
          </cell>
          <cell r="E364">
            <v>49340722</v>
          </cell>
          <cell r="F364">
            <v>65386625</v>
          </cell>
          <cell r="G364">
            <v>112116558</v>
          </cell>
          <cell r="H364">
            <v>155176940</v>
          </cell>
        </row>
        <row r="365">
          <cell r="A365" t="str">
            <v>16.071/K-2</v>
          </cell>
          <cell r="B365" t="str">
            <v>Heyelanlı bölgelerde Ø 80 cm. çapında yerinde dökme kazık yapılması [0-16 m. (16 m. dahil) boydaki kazıklar için]</v>
          </cell>
          <cell r="C365" t="str">
            <v>MT</v>
          </cell>
          <cell r="E365">
            <v>49307705</v>
          </cell>
          <cell r="F365">
            <v>65359185</v>
          </cell>
          <cell r="G365">
            <v>111386497</v>
          </cell>
          <cell r="H365">
            <v>154384950</v>
          </cell>
        </row>
        <row r="366">
          <cell r="A366" t="str">
            <v>16.072/K</v>
          </cell>
          <cell r="B366" t="str">
            <v>Köprülerde Ø 80 cm. çapında yerinde dökme kazık yapılması [16,01-24 m. (24 m. dahil) boydaki kazıklar için]</v>
          </cell>
          <cell r="C366" t="str">
            <v>MT</v>
          </cell>
          <cell r="E366">
            <v>52355116</v>
          </cell>
          <cell r="F366">
            <v>69376227</v>
          </cell>
          <cell r="G366">
            <v>118453263</v>
          </cell>
          <cell r="H366">
            <v>164115743</v>
          </cell>
        </row>
        <row r="367">
          <cell r="A367" t="str">
            <v>16.072/K-1</v>
          </cell>
          <cell r="B367" t="str">
            <v>Ø 80 cm. çapında yerinde dökme kazık yapılması [16,01-24 m. (24 m. dahil) boydaki kazıklar için] (Köprüler ve heyelanlı bölgeler hariç)</v>
          </cell>
          <cell r="C367" t="str">
            <v>MT</v>
          </cell>
          <cell r="E367">
            <v>34903411</v>
          </cell>
          <cell r="F367">
            <v>46250818</v>
          </cell>
          <cell r="G367">
            <v>78968842</v>
          </cell>
          <cell r="H367">
            <v>109410496</v>
          </cell>
        </row>
        <row r="368">
          <cell r="A368" t="str">
            <v>16.072/K-1B</v>
          </cell>
          <cell r="B368" t="str">
            <v>Köprülerde Ø 80 cm. çapında yerinde dökme kazık yapılması [16,01-24 m. (24 m. dahil) boydaki kazıklar için] (Beton santralı ile)</v>
          </cell>
          <cell r="C368" t="str">
            <v>MT</v>
          </cell>
          <cell r="E368">
            <v>52388133</v>
          </cell>
          <cell r="F368">
            <v>69403668</v>
          </cell>
          <cell r="G368">
            <v>119183325</v>
          </cell>
          <cell r="H368">
            <v>164907735</v>
          </cell>
        </row>
        <row r="369">
          <cell r="A369" t="str">
            <v>16.072/K-2</v>
          </cell>
          <cell r="B369" t="str">
            <v>Heyelanlı bölgelerde Ø 80 cm. çapında yerinde dökme kazık yapılması [16,01-24 m. (24 m. dahil) boydaki kazıklar için]</v>
          </cell>
          <cell r="C369" t="str">
            <v>MT</v>
          </cell>
          <cell r="E369">
            <v>52355116</v>
          </cell>
          <cell r="F369">
            <v>69376227</v>
          </cell>
          <cell r="G369">
            <v>118453263</v>
          </cell>
          <cell r="H369">
            <v>164115743</v>
          </cell>
        </row>
        <row r="370">
          <cell r="A370" t="str">
            <v>16.073/K</v>
          </cell>
          <cell r="B370" t="str">
            <v>Köprülerde Ø 80 cm. çapında yerinde dökme kazık yapılması [24,01-32 m. (32 m. dahil) boydaki kazıklar için]</v>
          </cell>
          <cell r="C370" t="str">
            <v>MT</v>
          </cell>
          <cell r="E370">
            <v>54386723</v>
          </cell>
          <cell r="F370">
            <v>72054258</v>
          </cell>
          <cell r="G370">
            <v>123164442</v>
          </cell>
          <cell r="H370">
            <v>170602942</v>
          </cell>
        </row>
        <row r="371">
          <cell r="A371" t="str">
            <v>16.073/K-1</v>
          </cell>
          <cell r="B371" t="str">
            <v>Ø 80 cm. çapında yerinde dökme kazık yapılması [24,01-32 m. (32 m. dahil) boydaki kazıklar için] (Köprüler ve heyelanlı bölgeler hariç)</v>
          </cell>
          <cell r="C371" t="str">
            <v>MT</v>
          </cell>
          <cell r="E371">
            <v>36257816</v>
          </cell>
          <cell r="F371">
            <v>48036172</v>
          </cell>
          <cell r="G371">
            <v>82109628</v>
          </cell>
          <cell r="H371">
            <v>113735295</v>
          </cell>
        </row>
        <row r="372">
          <cell r="A372" t="str">
            <v>16.073/K-1B</v>
          </cell>
          <cell r="B372" t="str">
            <v>Köprülerde Ø 80 cm. çapında yerinde dökme kazık yapılması [24,01-32 m. (32 m. dahil) boydaki kazıklar için] (Beton santralı ile)</v>
          </cell>
          <cell r="C372" t="str">
            <v>MT</v>
          </cell>
          <cell r="E372">
            <v>54419741</v>
          </cell>
          <cell r="F372">
            <v>72081698</v>
          </cell>
          <cell r="G372">
            <v>123894503</v>
          </cell>
          <cell r="H372">
            <v>171394932</v>
          </cell>
        </row>
        <row r="373">
          <cell r="A373" t="str">
            <v>16.073/K-2</v>
          </cell>
          <cell r="B373" t="str">
            <v>Heyelanlı bölgelerde Ø 80 cm. çapında yerinde dökme kazık yapılması [24,01-32 m. (32 m. dahil) boydaki kazıklar için]</v>
          </cell>
          <cell r="C373" t="str">
            <v>MT</v>
          </cell>
          <cell r="E373">
            <v>54386723</v>
          </cell>
          <cell r="F373">
            <v>72054258</v>
          </cell>
          <cell r="G373">
            <v>123164442</v>
          </cell>
          <cell r="H373">
            <v>170602942</v>
          </cell>
        </row>
        <row r="374">
          <cell r="A374" t="str">
            <v>16.074/K</v>
          </cell>
          <cell r="B374" t="str">
            <v>Köprülerde Ø 100 cm. çapında yerinde dökme kazık yapılması [0-16 m. (16 m. dahil) boydaki kazıklar için]</v>
          </cell>
          <cell r="C374" t="str">
            <v>MT</v>
          </cell>
          <cell r="E374">
            <v>69622842</v>
          </cell>
          <cell r="F374">
            <v>92342358</v>
          </cell>
          <cell r="G374">
            <v>156841351</v>
          </cell>
          <cell r="H374">
            <v>217541261</v>
          </cell>
        </row>
        <row r="375">
          <cell r="A375" t="str">
            <v>16.074/K-1</v>
          </cell>
          <cell r="B375" t="str">
            <v>Ø 100 cm. çapında yerinde dökme kazık yapılması [0-16 m. (16 m. dahil) boydaki kazıklar için] (Köprüler ve heyelanlı bölgeler hariç)</v>
          </cell>
          <cell r="C375" t="str">
            <v>MT</v>
          </cell>
          <cell r="E375">
            <v>46415228</v>
          </cell>
          <cell r="F375">
            <v>61561572</v>
          </cell>
          <cell r="G375">
            <v>104560901</v>
          </cell>
          <cell r="H375">
            <v>145027507</v>
          </cell>
        </row>
        <row r="376">
          <cell r="A376" t="str">
            <v>16.074/K-1B</v>
          </cell>
          <cell r="B376" t="str">
            <v>Köprülerde Ø 100 cm. çapında yerinde dökme kazık yapılması [0-16 m. (16 m. dahil) boydaki kazıklar için] (Beton santralı ile)</v>
          </cell>
          <cell r="C376" t="str">
            <v>MT</v>
          </cell>
          <cell r="E376">
            <v>69549380</v>
          </cell>
          <cell r="F376">
            <v>92217412</v>
          </cell>
          <cell r="G376">
            <v>157684972</v>
          </cell>
          <cell r="H376">
            <v>218362066</v>
          </cell>
        </row>
        <row r="377">
          <cell r="A377" t="str">
            <v>16.074/K-2</v>
          </cell>
          <cell r="B377" t="str">
            <v>Heyelanlı bölgelerde Ø 100 cm. çapında yerinde dökme kazık yapılması [0-16 m. (16 m. dahil) boydaki kazıklar için]</v>
          </cell>
          <cell r="C377" t="str">
            <v>MT</v>
          </cell>
          <cell r="E377">
            <v>69622842</v>
          </cell>
          <cell r="F377">
            <v>92342358</v>
          </cell>
          <cell r="G377">
            <v>156841351</v>
          </cell>
          <cell r="H377">
            <v>217541261</v>
          </cell>
        </row>
        <row r="378">
          <cell r="A378" t="str">
            <v>16.075/K</v>
          </cell>
          <cell r="B378" t="str">
            <v>Köprülerde Ø 100 cm. çapında yerinde dökme kazık yapılması [16,01-24 m. (24 m. dahil) boydaki kazıklar için]</v>
          </cell>
          <cell r="C378" t="str">
            <v>MT</v>
          </cell>
          <cell r="E378">
            <v>72670252</v>
          </cell>
          <cell r="F378">
            <v>96359401</v>
          </cell>
          <cell r="G378">
            <v>163908120</v>
          </cell>
          <cell r="H378">
            <v>227272055</v>
          </cell>
        </row>
        <row r="379">
          <cell r="A379" t="str">
            <v>16.075/K-1</v>
          </cell>
          <cell r="B379" t="str">
            <v>Ø 100 cm. çapında yerinde dökme kazık yapılması [16,01-24 m. (24 m. dahil) boydaki kazıklar için] (Köprüler ve heyelanlı bölgeler hariç)</v>
          </cell>
          <cell r="C379" t="str">
            <v>MT</v>
          </cell>
          <cell r="E379">
            <v>48446835</v>
          </cell>
          <cell r="F379">
            <v>64239601</v>
          </cell>
          <cell r="G379">
            <v>109272080</v>
          </cell>
          <cell r="H379">
            <v>151514703</v>
          </cell>
        </row>
        <row r="380">
          <cell r="A380" t="str">
            <v>16.075/K-1B</v>
          </cell>
          <cell r="B380" t="str">
            <v>Köprülerde Ø 100 cm. çapında yerinde dökme kazık yapılması [16,01-24 m. (24 m. dahil) boydaki kazıklar için] (Beton santralı ile)</v>
          </cell>
          <cell r="C380" t="str">
            <v>MT</v>
          </cell>
          <cell r="E380">
            <v>72596790</v>
          </cell>
          <cell r="F380">
            <v>96234455</v>
          </cell>
          <cell r="G380">
            <v>164751740</v>
          </cell>
          <cell r="H380">
            <v>228092861</v>
          </cell>
        </row>
        <row r="381">
          <cell r="A381" t="str">
            <v>16.075/K-2</v>
          </cell>
          <cell r="B381" t="str">
            <v>Heyelanlı bölgelerde Ø 100 cm. çapında yerinde dökme kazık yapılması [16,01-24 m. (24 m. dahil) boydaki kazıklar için]</v>
          </cell>
          <cell r="C381" t="str">
            <v>MT</v>
          </cell>
          <cell r="E381">
            <v>72670252</v>
          </cell>
          <cell r="F381">
            <v>96359401</v>
          </cell>
          <cell r="G381">
            <v>163908120</v>
          </cell>
          <cell r="H381">
            <v>227272055</v>
          </cell>
        </row>
        <row r="382">
          <cell r="A382" t="str">
            <v>16.076/K</v>
          </cell>
          <cell r="B382" t="str">
            <v>Köprülerde Ø 100 cm. çapında yerinde dökme kazık yapılması [24,01-32 m. (32 m. dahil) boydaki kazıklar için]</v>
          </cell>
          <cell r="C382" t="str">
            <v>MT</v>
          </cell>
          <cell r="E382">
            <v>74701860</v>
          </cell>
          <cell r="F382">
            <v>99037432</v>
          </cell>
          <cell r="G382">
            <v>168619297</v>
          </cell>
          <cell r="H382">
            <v>233759253</v>
          </cell>
        </row>
        <row r="383">
          <cell r="A383" t="str">
            <v>16.076/K-1</v>
          </cell>
          <cell r="B383" t="str">
            <v>Ø 100 cm. çapında yerinde dökme kazık yapılması [24,01-32 m. (32 m. dahil) boydaki kazıklar için] (Köprüler ve heyelanlı bölgeler hariç)</v>
          </cell>
          <cell r="C383" t="str">
            <v>MT</v>
          </cell>
          <cell r="E383">
            <v>49801240</v>
          </cell>
          <cell r="F383">
            <v>66024955</v>
          </cell>
          <cell r="G383">
            <v>112412865</v>
          </cell>
          <cell r="H383">
            <v>155839502</v>
          </cell>
        </row>
        <row r="384">
          <cell r="A384" t="str">
            <v>16.076/K-1B</v>
          </cell>
          <cell r="B384" t="str">
            <v>Köprülerde Ø 100 cm. çapında yerinde dökme kazık yapılması [24,01-32 m. (32 m. dahil) boydaki kazıklar için] (Beton santralı ile)</v>
          </cell>
          <cell r="C384" t="str">
            <v>MT</v>
          </cell>
          <cell r="E384">
            <v>74628397</v>
          </cell>
          <cell r="F384">
            <v>98912486</v>
          </cell>
          <cell r="G384">
            <v>169462917</v>
          </cell>
          <cell r="H384">
            <v>234580058</v>
          </cell>
        </row>
        <row r="385">
          <cell r="A385" t="str">
            <v>16.076/K-2</v>
          </cell>
          <cell r="B385" t="str">
            <v>Heyelanlı bölgelerde Ø 100 cm. çapında yerinde dökme kazık yapılması [24,01-32 m. (32 m. dahil) boydaki kazıklar için]</v>
          </cell>
          <cell r="C385" t="str">
            <v>MT</v>
          </cell>
          <cell r="E385">
            <v>74701860</v>
          </cell>
          <cell r="F385">
            <v>99037432</v>
          </cell>
          <cell r="G385">
            <v>168619297</v>
          </cell>
          <cell r="H385">
            <v>233759253</v>
          </cell>
        </row>
        <row r="386">
          <cell r="A386" t="str">
            <v>16.077/K</v>
          </cell>
          <cell r="B386" t="str">
            <v>Köprülerde Ø 120 cm. çapında yerinde dökme kazık yapılması [0-16 m. (16 m. dahil) boydaki kazıklar için]</v>
          </cell>
          <cell r="C386" t="str">
            <v>MT</v>
          </cell>
          <cell r="E386">
            <v>90967951</v>
          </cell>
          <cell r="F386">
            <v>120712327</v>
          </cell>
          <cell r="G386">
            <v>204449025</v>
          </cell>
          <cell r="H386">
            <v>283743360</v>
          </cell>
        </row>
        <row r="387">
          <cell r="A387" t="str">
            <v>16.077/K-1</v>
          </cell>
          <cell r="B387" t="str">
            <v>Ø 120 cm. çapında yerinde dökme kazık yapılması [0-16 m. (16 m. dahil) boydaki kazıklar için] (Köprüler ve heyelanlı bölgeler hariç)</v>
          </cell>
          <cell r="C387" t="str">
            <v>MT</v>
          </cell>
          <cell r="E387">
            <v>60645301</v>
          </cell>
          <cell r="F387">
            <v>80474885</v>
          </cell>
          <cell r="G387">
            <v>136299350</v>
          </cell>
          <cell r="H387">
            <v>189162240</v>
          </cell>
        </row>
        <row r="388">
          <cell r="A388" t="str">
            <v>16.077/K-1B</v>
          </cell>
          <cell r="B388" t="str">
            <v>Köprülerde Ø 120 cm. çapında yerinde dökme kazık yapılması [0-16 m. (16 m. dahil) boydaki kazıklar  için] (Beton santralı ile)</v>
          </cell>
          <cell r="C388" t="str">
            <v>MT</v>
          </cell>
          <cell r="E388">
            <v>90276727</v>
          </cell>
          <cell r="F388">
            <v>119743227</v>
          </cell>
          <cell r="G388">
            <v>204389190</v>
          </cell>
          <cell r="H388">
            <v>283153373</v>
          </cell>
        </row>
        <row r="389">
          <cell r="A389" t="str">
            <v>16.077/K-2</v>
          </cell>
          <cell r="B389" t="str">
            <v>Heyelanlı bölgelerde Ø 120 cm. çapında yerinde dökme kazık yapılması [0-16 m. (16 m. dahil) boydaki kazıklar için]</v>
          </cell>
          <cell r="C389" t="str">
            <v>MT</v>
          </cell>
          <cell r="E389">
            <v>90967951</v>
          </cell>
          <cell r="F389">
            <v>120712327</v>
          </cell>
          <cell r="G389">
            <v>204449025</v>
          </cell>
          <cell r="H389">
            <v>283743360</v>
          </cell>
        </row>
        <row r="390">
          <cell r="A390" t="str">
            <v>16.078/K</v>
          </cell>
          <cell r="B390" t="str">
            <v>Köprülerde Ø 120 cm. çapında yerinde dökme kazık yapılması (16,01-24 m. (24 m. dahil) boydaki kazıklar için]</v>
          </cell>
          <cell r="C390" t="str">
            <v>MT</v>
          </cell>
          <cell r="E390">
            <v>94015362</v>
          </cell>
          <cell r="F390">
            <v>124729370</v>
          </cell>
          <cell r="G390">
            <v>211515791</v>
          </cell>
          <cell r="H390">
            <v>293474153</v>
          </cell>
        </row>
        <row r="391">
          <cell r="A391" t="str">
            <v>16.078/K-1</v>
          </cell>
          <cell r="B391" t="str">
            <v>Ø 120 cm. çapında yerinde dökme kazık yapılması [16,01-24 m. (24 m. dahil) boydaki kazıklar için] (Köprüler ve heyelanlı bölgeler hariç)</v>
          </cell>
          <cell r="C391" t="str">
            <v>MT</v>
          </cell>
          <cell r="E391">
            <v>62676908</v>
          </cell>
          <cell r="F391">
            <v>83152913</v>
          </cell>
          <cell r="G391">
            <v>141010527</v>
          </cell>
          <cell r="H391">
            <v>195649436</v>
          </cell>
        </row>
        <row r="392">
          <cell r="A392" t="str">
            <v>16.078/K-1B</v>
          </cell>
          <cell r="B392" t="str">
            <v>Köprülerde Ø 120 cm. çapında yerinde dökme kazık yapılması [16,01-24 m. (24 m. dahil) boydaki kazıklar için] (Beton santralı ile)</v>
          </cell>
          <cell r="C392" t="str">
            <v>MT</v>
          </cell>
          <cell r="E392">
            <v>93324138</v>
          </cell>
          <cell r="F392">
            <v>123760271</v>
          </cell>
          <cell r="G392">
            <v>211455956</v>
          </cell>
          <cell r="H392">
            <v>292884168</v>
          </cell>
        </row>
        <row r="393">
          <cell r="A393" t="str">
            <v>16.078/K-2</v>
          </cell>
          <cell r="B393" t="str">
            <v>Heyelanlı bölgelerde Ø 120 cm. çapında yerinde dökme kazık yapılması [16,01-24 m. (24 m. dahil) boydaki kazıklar için]</v>
          </cell>
          <cell r="C393" t="str">
            <v>MT</v>
          </cell>
          <cell r="E393">
            <v>94015362</v>
          </cell>
          <cell r="F393">
            <v>124729370</v>
          </cell>
          <cell r="G393">
            <v>211515791</v>
          </cell>
          <cell r="H393">
            <v>293474153</v>
          </cell>
        </row>
        <row r="394">
          <cell r="A394" t="str">
            <v>16.079/K</v>
          </cell>
          <cell r="B394" t="str">
            <v>Köprülerde Ø 120 cm. çapında yerinde dökme kazık yapılması [24,01-32 m. (32 m. dahil) boydaki kazıklar için]</v>
          </cell>
          <cell r="C394" t="str">
            <v>MT</v>
          </cell>
          <cell r="E394">
            <v>96046970</v>
          </cell>
          <cell r="F394">
            <v>127407401</v>
          </cell>
          <cell r="G394">
            <v>216226970</v>
          </cell>
          <cell r="H394">
            <v>299961352</v>
          </cell>
        </row>
        <row r="395">
          <cell r="A395" t="str">
            <v>16.079/K-1</v>
          </cell>
          <cell r="B395" t="str">
            <v>Ø 120 cm. çapında yerinde dökme kazık yapılması [24,01-32 m. (32 m. dahil) boydaki kazıklar için] (Köprüler ve heyelanlı bölgeler hariç)</v>
          </cell>
          <cell r="C395" t="str">
            <v>MT</v>
          </cell>
          <cell r="E395">
            <v>64031313</v>
          </cell>
          <cell r="F395">
            <v>84938267</v>
          </cell>
          <cell r="G395">
            <v>144151313</v>
          </cell>
          <cell r="H395">
            <v>199974235</v>
          </cell>
        </row>
        <row r="396">
          <cell r="A396" t="str">
            <v>16.079/K-1B</v>
          </cell>
          <cell r="B396" t="str">
            <v>Köprülerde Ø 120 cm. çapında yerinde dökme kazık yapılması [24,01-32 m. (32 m. dahil) boydaki kazıklar için] (Beton santralı ile)</v>
          </cell>
          <cell r="C396" t="str">
            <v>MT</v>
          </cell>
          <cell r="E396">
            <v>95355746</v>
          </cell>
          <cell r="F396">
            <v>126438301</v>
          </cell>
          <cell r="G396">
            <v>216167135</v>
          </cell>
          <cell r="H396">
            <v>299371366</v>
          </cell>
        </row>
        <row r="397">
          <cell r="A397" t="str">
            <v>16.079/K-2</v>
          </cell>
          <cell r="B397" t="str">
            <v>Heyelanlı bölgelerde Ø 120 cm. çapında yerinde dökme kazık yapılması [24,01-32 m. (32 m. dahil) boydaki kazıklar için]</v>
          </cell>
          <cell r="C397" t="str">
            <v>MT</v>
          </cell>
          <cell r="E397">
            <v>96046970</v>
          </cell>
          <cell r="F397">
            <v>127407401</v>
          </cell>
          <cell r="G397">
            <v>216226970</v>
          </cell>
          <cell r="H397">
            <v>299961352</v>
          </cell>
        </row>
        <row r="398">
          <cell r="A398" t="str">
            <v>16.080/K</v>
          </cell>
          <cell r="B398" t="str">
            <v>Köprülerde yerinde dökme kazıkların alt uçlarına soğanbaşı yapılması</v>
          </cell>
          <cell r="C398" t="str">
            <v>M2</v>
          </cell>
          <cell r="E398">
            <v>56615921</v>
          </cell>
          <cell r="F398">
            <v>74960757</v>
          </cell>
          <cell r="G398">
            <v>128545912</v>
          </cell>
          <cell r="H398">
            <v>177930990</v>
          </cell>
        </row>
        <row r="399">
          <cell r="A399" t="str">
            <v>16.100/K</v>
          </cell>
          <cell r="B399" t="str">
            <v>Her türlü inşaat temellerinde (Köprü temelleri hariç) kuruda veya suda her dozda demirsiz beton</v>
          </cell>
          <cell r="C399" t="str">
            <v>M3</v>
          </cell>
          <cell r="E399">
            <v>12926710</v>
          </cell>
          <cell r="F399">
            <v>17353826</v>
          </cell>
          <cell r="G399">
            <v>26938147</v>
          </cell>
          <cell r="H399">
            <v>37990555</v>
          </cell>
        </row>
        <row r="400">
          <cell r="A400" t="str">
            <v>16.100/K-1</v>
          </cell>
          <cell r="B400" t="str">
            <v>Her türlü inşaat temellerinde (Köprü temelleri hariç) kuruda veya suda her dozda demirsiz beton (Beton santralı ile)</v>
          </cell>
          <cell r="C400" t="str">
            <v>M3</v>
          </cell>
          <cell r="E400">
            <v>12682211</v>
          </cell>
          <cell r="F400">
            <v>17008047</v>
          </cell>
          <cell r="G400">
            <v>27141601</v>
          </cell>
          <cell r="H400">
            <v>38011580</v>
          </cell>
        </row>
        <row r="401">
          <cell r="A401" t="str">
            <v>16.101/K</v>
          </cell>
          <cell r="B401" t="str">
            <v>Köprü temellerinde kuruda veya suda her dozda demirsiz beton</v>
          </cell>
          <cell r="C401" t="str">
            <v>M3</v>
          </cell>
          <cell r="E401">
            <v>15201146</v>
          </cell>
          <cell r="F401">
            <v>20215361</v>
          </cell>
          <cell r="G401">
            <v>31930900</v>
          </cell>
          <cell r="H401">
            <v>44538838</v>
          </cell>
        </row>
        <row r="402">
          <cell r="A402" t="str">
            <v>16.101/K-1</v>
          </cell>
          <cell r="B402" t="str">
            <v>Köprü temellerinde kuruda veya suda her dozda demirsiz beton (Beton santralı ile)</v>
          </cell>
          <cell r="C402" t="str">
            <v>M3</v>
          </cell>
          <cell r="E402">
            <v>14956645</v>
          </cell>
          <cell r="F402">
            <v>19869580</v>
          </cell>
          <cell r="G402">
            <v>32134351</v>
          </cell>
          <cell r="H402">
            <v>44559861</v>
          </cell>
        </row>
        <row r="403">
          <cell r="A403" t="str">
            <v>16.120/K</v>
          </cell>
          <cell r="B403" t="str">
            <v>Her türlü inşaatta (Köprüler hariç) temel dışında kuruda veya suda her dozda demirsiz beton</v>
          </cell>
          <cell r="C403" t="str">
            <v>M3</v>
          </cell>
          <cell r="E403">
            <v>18837206</v>
          </cell>
          <cell r="F403">
            <v>24814202</v>
          </cell>
          <cell r="G403">
            <v>39879022</v>
          </cell>
          <cell r="H403">
            <v>55022038</v>
          </cell>
        </row>
        <row r="404">
          <cell r="A404" t="str">
            <v>16.120/K-1</v>
          </cell>
          <cell r="B404" t="str">
            <v>Her türlü inşaatta (Köprüler hariç) temel dışında kuruda veya suda her dozda demirsiz beton (Beton santralı ile)</v>
          </cell>
          <cell r="C404" t="str">
            <v>M3</v>
          </cell>
          <cell r="E404">
            <v>18592707</v>
          </cell>
          <cell r="F404">
            <v>24468423</v>
          </cell>
          <cell r="G404">
            <v>40082476</v>
          </cell>
          <cell r="H404">
            <v>55043063</v>
          </cell>
        </row>
        <row r="405">
          <cell r="A405" t="str">
            <v>16.120/K-A</v>
          </cell>
          <cell r="B405" t="str">
            <v>Hendeklerin betonla kaplanması (Orta refüj ve yarma hendeği) (Beton santralı ile)</v>
          </cell>
          <cell r="C405" t="str">
            <v>M3</v>
          </cell>
          <cell r="E405">
            <v>14863250</v>
          </cell>
          <cell r="F405">
            <v>19782527</v>
          </cell>
          <cell r="G405">
            <v>31886501</v>
          </cell>
          <cell r="H405">
            <v>44308751</v>
          </cell>
        </row>
        <row r="406">
          <cell r="A406" t="str">
            <v>16.120/K-A1</v>
          </cell>
          <cell r="B406" t="str">
            <v>Hendeklerin betonla kaplanması (Orta refüj ve yarma hendeği) (Betoniyer ile)</v>
          </cell>
          <cell r="C406" t="str">
            <v>M3</v>
          </cell>
          <cell r="E406">
            <v>15107745</v>
          </cell>
          <cell r="F406">
            <v>20128302</v>
          </cell>
          <cell r="G406">
            <v>31683043</v>
          </cell>
          <cell r="H406">
            <v>44287722</v>
          </cell>
        </row>
        <row r="407">
          <cell r="A407" t="str">
            <v>16.121/K</v>
          </cell>
          <cell r="B407" t="str">
            <v>Köprülerde temel dışında kuruda veya suda her dozda demirsiz beton</v>
          </cell>
          <cell r="C407" t="str">
            <v>M3</v>
          </cell>
          <cell r="E407">
            <v>21001145</v>
          </cell>
          <cell r="F407">
            <v>27544325</v>
          </cell>
          <cell r="G407">
            <v>44618650</v>
          </cell>
          <cell r="H407">
            <v>61256807</v>
          </cell>
        </row>
        <row r="408">
          <cell r="A408" t="str">
            <v>16.121/K-1</v>
          </cell>
          <cell r="B408" t="str">
            <v>Köprülerde temel dışında kuruda veya suda her dozda demirsiz beton (Beton santralı ile)</v>
          </cell>
          <cell r="C408" t="str">
            <v>M3</v>
          </cell>
          <cell r="E408">
            <v>20756643</v>
          </cell>
          <cell r="F408">
            <v>27198543</v>
          </cell>
          <cell r="G408">
            <v>44822101</v>
          </cell>
          <cell r="H408">
            <v>61277830</v>
          </cell>
        </row>
        <row r="409">
          <cell r="A409" t="str">
            <v>16.130/K</v>
          </cell>
          <cell r="B409" t="str">
            <v>Kirişli menfezlerde kuruda veya suda her dozda demirli beton</v>
          </cell>
          <cell r="C409" t="str">
            <v>M3</v>
          </cell>
          <cell r="E409">
            <v>30376926</v>
          </cell>
          <cell r="F409">
            <v>39411701</v>
          </cell>
          <cell r="G409">
            <v>65101966</v>
          </cell>
          <cell r="H409">
            <v>88300937</v>
          </cell>
        </row>
        <row r="410">
          <cell r="A410" t="str">
            <v>16.130/K-1</v>
          </cell>
          <cell r="B410" t="str">
            <v>Kirişli menfezlerde kuruda veya suda her dozda demirli beton (Beton santralı ile)</v>
          </cell>
          <cell r="C410" t="str">
            <v>M3</v>
          </cell>
          <cell r="E410">
            <v>31198823</v>
          </cell>
          <cell r="F410">
            <v>40505675</v>
          </cell>
          <cell r="G410">
            <v>67513121</v>
          </cell>
          <cell r="H410">
            <v>91456150</v>
          </cell>
        </row>
        <row r="411">
          <cell r="A411" t="str">
            <v>16.131/K</v>
          </cell>
          <cell r="B411" t="str">
            <v>Her türlü inşaatta (Kirişli ve kutu menfezler, köprüler ve betonarme kazık hariç, plak ve kompozit menfezler dahil) kuruda veya suda her dozda demirli beton</v>
          </cell>
          <cell r="C411" t="str">
            <v>M3</v>
          </cell>
          <cell r="E411">
            <v>23760771</v>
          </cell>
          <cell r="F411">
            <v>31075740</v>
          </cell>
          <cell r="G411">
            <v>50596028</v>
          </cell>
          <cell r="H411">
            <v>69244843</v>
          </cell>
        </row>
        <row r="412">
          <cell r="A412" t="str">
            <v>16.131/K-1</v>
          </cell>
          <cell r="B412" t="str">
            <v>Her türlü inşaatta (Kirişli ve kutu menfezler, köprüler ve betonarme kazık hariç, plak ve kompozit menfezler dahil) kuruda veya suda her dozda demirli beton (Beton santralı ile)</v>
          </cell>
          <cell r="C412" t="str">
            <v>M3</v>
          </cell>
          <cell r="E412">
            <v>24582668</v>
          </cell>
          <cell r="F412">
            <v>32169713</v>
          </cell>
          <cell r="G412">
            <v>53007183</v>
          </cell>
          <cell r="H412">
            <v>72400056</v>
          </cell>
        </row>
        <row r="413">
          <cell r="A413" t="str">
            <v>16.132/K</v>
          </cell>
          <cell r="B413" t="str">
            <v>Köprülerde[Plak, kompozit ve I kirişli köprülerin tabliyeleri hariç öngerilmeli (Önçekim-artçekim) kirişli köprülerin döşeme betonları dahil] kuruda veya suda her dozda demirli beton</v>
          </cell>
          <cell r="C413" t="str">
            <v>M3</v>
          </cell>
          <cell r="E413">
            <v>44030806</v>
          </cell>
          <cell r="F413">
            <v>56750156</v>
          </cell>
          <cell r="G413">
            <v>94849466</v>
          </cell>
          <cell r="H413">
            <v>127704687</v>
          </cell>
        </row>
        <row r="414">
          <cell r="A414" t="str">
            <v>16.132/K-1</v>
          </cell>
          <cell r="B414" t="str">
            <v>I Kirişli köprülerin tabliyelerinde kuruda veya suda her dozda demirli beton</v>
          </cell>
          <cell r="C414" t="str">
            <v>M3</v>
          </cell>
          <cell r="E414">
            <v>59679286</v>
          </cell>
          <cell r="F414">
            <v>76533998</v>
          </cell>
          <cell r="G414">
            <v>129064466</v>
          </cell>
          <cell r="H414">
            <v>172814687</v>
          </cell>
        </row>
        <row r="415">
          <cell r="A415" t="str">
            <v>16.132/K-1/1</v>
          </cell>
          <cell r="B415" t="str">
            <v>I Kirişli köprülerin tabliyelerinde kuruda veya suda her dozda demirli beton (Beton santralı ile)</v>
          </cell>
          <cell r="C415" t="str">
            <v>M3</v>
          </cell>
          <cell r="E415">
            <v>60501183</v>
          </cell>
          <cell r="F415">
            <v>77627972</v>
          </cell>
          <cell r="G415">
            <v>131475621</v>
          </cell>
          <cell r="H415">
            <v>175969900</v>
          </cell>
        </row>
        <row r="416">
          <cell r="A416" t="str">
            <v>16.132/K-2</v>
          </cell>
          <cell r="B416" t="str">
            <v>Köprülerde [Plak,kompozit ve I kirişli köprülerin tabliyeleri hariç,öngerilmeli (Önçekim-artçekim) kirişli köprülerin döşeme betonları dahil] kuruda veya suda her dozda demirli beton (Beton santralı ile)</v>
          </cell>
          <cell r="C416" t="str">
            <v>M3</v>
          </cell>
          <cell r="E416">
            <v>44852703</v>
          </cell>
          <cell r="F416">
            <v>57844130</v>
          </cell>
          <cell r="G416">
            <v>97260621</v>
          </cell>
          <cell r="H416">
            <v>130859900</v>
          </cell>
        </row>
        <row r="417">
          <cell r="A417" t="str">
            <v>16.133/K</v>
          </cell>
          <cell r="B417" t="str">
            <v>Plak ve kompozit köprülerin tabliyelerinde, betonarme kazıkta kuruda veya suda her dozda demirli beton</v>
          </cell>
          <cell r="C417" t="str">
            <v>M3</v>
          </cell>
          <cell r="E417">
            <v>34641717</v>
          </cell>
          <cell r="F417">
            <v>44879850</v>
          </cell>
          <cell r="G417">
            <v>74320466</v>
          </cell>
          <cell r="H417">
            <v>100638687</v>
          </cell>
        </row>
        <row r="418">
          <cell r="A418" t="str">
            <v>16.133/K-1</v>
          </cell>
          <cell r="B418" t="str">
            <v>Plak ve kompozit köprülerin tabliyelerinde, betonarme kazıkta kuruda veya suda her dozda demirli beton (Beton santralı ile)</v>
          </cell>
          <cell r="C418" t="str">
            <v>M3</v>
          </cell>
          <cell r="E418">
            <v>35463615</v>
          </cell>
          <cell r="F418">
            <v>45973823</v>
          </cell>
          <cell r="G418">
            <v>76731621</v>
          </cell>
          <cell r="H418">
            <v>103793900</v>
          </cell>
        </row>
        <row r="419">
          <cell r="A419" t="str">
            <v>16.134</v>
          </cell>
          <cell r="B419" t="str">
            <v>Kutu menfezlerde kuruda veya suda her dozda demirli beton</v>
          </cell>
          <cell r="C419" t="str">
            <v>M3</v>
          </cell>
          <cell r="E419">
            <v>34787696</v>
          </cell>
          <cell r="F419">
            <v>44969008</v>
          </cell>
          <cell r="G419">
            <v>74772591</v>
          </cell>
          <cell r="H419">
            <v>101005000</v>
          </cell>
        </row>
        <row r="420">
          <cell r="A420" t="str">
            <v>16.134/1</v>
          </cell>
          <cell r="B420" t="str">
            <v>Kutu menfezlerde kuruda veya suda her dozda demirli beton (Beton santralı ile)</v>
          </cell>
          <cell r="C420" t="str">
            <v>M3</v>
          </cell>
          <cell r="E420">
            <v>35609593</v>
          </cell>
          <cell r="F420">
            <v>46062982</v>
          </cell>
          <cell r="G420">
            <v>77183746</v>
          </cell>
          <cell r="H420">
            <v>104160212</v>
          </cell>
        </row>
        <row r="421">
          <cell r="A421" t="str">
            <v>16.135/K</v>
          </cell>
          <cell r="B421" t="str">
            <v>Beton yol ve tretuvar</v>
          </cell>
          <cell r="C421" t="str">
            <v>M3</v>
          </cell>
          <cell r="E421">
            <v>14939937</v>
          </cell>
          <cell r="F421">
            <v>20159315</v>
          </cell>
          <cell r="G421">
            <v>30997991</v>
          </cell>
          <cell r="H421">
            <v>43980181</v>
          </cell>
        </row>
        <row r="422">
          <cell r="A422" t="str">
            <v>16.135/K-1</v>
          </cell>
          <cell r="B422" t="str">
            <v>Beton yol ve tretuvar (Beton santralı ile)</v>
          </cell>
          <cell r="C422" t="str">
            <v>M3</v>
          </cell>
          <cell r="E422">
            <v>14634318</v>
          </cell>
          <cell r="F422">
            <v>19727096</v>
          </cell>
          <cell r="G422">
            <v>31252313</v>
          </cell>
          <cell r="H422">
            <v>44006466</v>
          </cell>
        </row>
        <row r="423">
          <cell r="A423" t="str">
            <v>16.136/K-1</v>
          </cell>
          <cell r="B423" t="str">
            <v>Prefabrik kirişlerin yerlerine konulması</v>
          </cell>
          <cell r="C423" t="str">
            <v>TN</v>
          </cell>
          <cell r="E423">
            <v>14865521</v>
          </cell>
          <cell r="F423">
            <v>19457491</v>
          </cell>
          <cell r="G423">
            <v>35484187</v>
          </cell>
          <cell r="H423">
            <v>48727996</v>
          </cell>
        </row>
        <row r="424">
          <cell r="A424" t="str">
            <v>16.137/K-1-A</v>
          </cell>
          <cell r="B424" t="str">
            <v>Köprülerin öngerilmeli (Önçekim-Artçekim) boyuna ve enine kirişlerinde her dozda demirli beton (Beton santralı ile)</v>
          </cell>
          <cell r="C424" t="str">
            <v>M3</v>
          </cell>
          <cell r="E424">
            <v>104208966</v>
          </cell>
          <cell r="F424">
            <v>133468580</v>
          </cell>
          <cell r="G424">
            <v>230238746</v>
          </cell>
          <cell r="H424">
            <v>309113946</v>
          </cell>
        </row>
        <row r="425">
          <cell r="A425" t="str">
            <v>16.581/1</v>
          </cell>
          <cell r="B425" t="str">
            <v>Püskürtme betonu (Shotcrete) yapılması</v>
          </cell>
          <cell r="C425" t="str">
            <v>TN</v>
          </cell>
          <cell r="E425">
            <v>12632667</v>
          </cell>
          <cell r="F425">
            <v>16970715</v>
          </cell>
          <cell r="G425">
            <v>26801570</v>
          </cell>
          <cell r="H425">
            <v>37767105</v>
          </cell>
        </row>
        <row r="426">
          <cell r="A426" t="str">
            <v>17.001/K</v>
          </cell>
          <cell r="B426" t="str">
            <v>Ocak taşı ile kuru moloz  duvar</v>
          </cell>
          <cell r="C426" t="str">
            <v>M3</v>
          </cell>
          <cell r="E426">
            <v>10623060</v>
          </cell>
          <cell r="F426">
            <v>14316198</v>
          </cell>
          <cell r="G426">
            <v>22309001</v>
          </cell>
          <cell r="H426">
            <v>31540918</v>
          </cell>
        </row>
        <row r="427">
          <cell r="A427" t="str">
            <v>17.002/K</v>
          </cell>
          <cell r="B427" t="str">
            <v>Ocak taşı ile moloz taş inşaat</v>
          </cell>
          <cell r="C427" t="str">
            <v>M3</v>
          </cell>
          <cell r="E427">
            <v>14428981</v>
          </cell>
          <cell r="F427">
            <v>19458772</v>
          </cell>
          <cell r="G427">
            <v>30147141</v>
          </cell>
          <cell r="H427">
            <v>42680433</v>
          </cell>
        </row>
        <row r="428">
          <cell r="A428" t="str">
            <v>17.011/K</v>
          </cell>
          <cell r="B428" t="str">
            <v>Kazı taşı ile kuru moloz duvar</v>
          </cell>
          <cell r="C428" t="str">
            <v>M3</v>
          </cell>
          <cell r="E428">
            <v>8703577</v>
          </cell>
          <cell r="F428">
            <v>11775797</v>
          </cell>
          <cell r="G428">
            <v>17959090</v>
          </cell>
          <cell r="H428">
            <v>25561216</v>
          </cell>
        </row>
        <row r="429">
          <cell r="A429" t="str">
            <v>17.012/K</v>
          </cell>
          <cell r="B429" t="str">
            <v>Kazı taşı ile moloz taş inşaat</v>
          </cell>
          <cell r="C429" t="str">
            <v>M3</v>
          </cell>
          <cell r="E429">
            <v>12586278</v>
          </cell>
          <cell r="F429">
            <v>17019987</v>
          </cell>
          <cell r="G429">
            <v>25971227</v>
          </cell>
          <cell r="H429">
            <v>36939920</v>
          </cell>
        </row>
        <row r="430">
          <cell r="A430" t="str">
            <v>17.021/K</v>
          </cell>
          <cell r="B430" t="str">
            <v>Ocak taşı ile moloz taş kemer inşaatı (Kalıp hariç)</v>
          </cell>
          <cell r="C430" t="str">
            <v>M3</v>
          </cell>
          <cell r="E430">
            <v>19308060</v>
          </cell>
          <cell r="F430">
            <v>26041983</v>
          </cell>
          <cell r="G430">
            <v>40266722</v>
          </cell>
          <cell r="H430">
            <v>57036017</v>
          </cell>
        </row>
        <row r="431">
          <cell r="A431" t="str">
            <v>17.025/K</v>
          </cell>
          <cell r="B431" t="str">
            <v>Kazı taşı ile moloz taş kemer inşaatı (Kalıp hariç)</v>
          </cell>
          <cell r="C431" t="str">
            <v>M3</v>
          </cell>
          <cell r="E431">
            <v>17235018</v>
          </cell>
          <cell r="F431">
            <v>23298350</v>
          </cell>
          <cell r="G431">
            <v>35568820</v>
          </cell>
          <cell r="H431">
            <v>50577940</v>
          </cell>
        </row>
        <row r="432">
          <cell r="A432" t="str">
            <v>17.031/K</v>
          </cell>
          <cell r="B432" t="str">
            <v>Ocak taşı ile çaplanmış moloz taş inşaat</v>
          </cell>
          <cell r="C432" t="str">
            <v>M3</v>
          </cell>
          <cell r="E432">
            <v>23181250</v>
          </cell>
          <cell r="F432">
            <v>31262190</v>
          </cell>
          <cell r="G432">
            <v>48368600</v>
          </cell>
          <cell r="H432">
            <v>68501528</v>
          </cell>
        </row>
        <row r="433">
          <cell r="A433" t="str">
            <v>17.036/K</v>
          </cell>
          <cell r="B433" t="str">
            <v>Kazı taşı ile çaplanmış moloz taş inşaat</v>
          </cell>
          <cell r="C433" t="str">
            <v>M3</v>
          </cell>
          <cell r="E433">
            <v>20695048</v>
          </cell>
          <cell r="F433">
            <v>27965792</v>
          </cell>
          <cell r="G433">
            <v>42718103</v>
          </cell>
          <cell r="H433">
            <v>60720708</v>
          </cell>
        </row>
        <row r="434">
          <cell r="A434" t="str">
            <v>17.041/K</v>
          </cell>
          <cell r="B434" t="str">
            <v>Ocak taşı ile çaplanmış moloz taş kemer inşaatı (Kalıp hariç)</v>
          </cell>
          <cell r="C434" t="str">
            <v>M3</v>
          </cell>
          <cell r="E434">
            <v>33589203</v>
          </cell>
          <cell r="F434">
            <v>45309523</v>
          </cell>
          <cell r="G434">
            <v>69942677</v>
          </cell>
          <cell r="H434">
            <v>99114090</v>
          </cell>
        </row>
        <row r="435">
          <cell r="A435" t="str">
            <v>17.046/K</v>
          </cell>
          <cell r="B435" t="str">
            <v>Kazı taşı ile çaplanmış moloz taş kemer inşaatı (Kalıp hariç)</v>
          </cell>
          <cell r="C435" t="str">
            <v>M3</v>
          </cell>
          <cell r="E435">
            <v>30203267</v>
          </cell>
          <cell r="F435">
            <v>40804356</v>
          </cell>
          <cell r="G435">
            <v>62353380</v>
          </cell>
          <cell r="H435">
            <v>88607701</v>
          </cell>
        </row>
        <row r="436">
          <cell r="A436" t="str">
            <v>17.051/K</v>
          </cell>
          <cell r="B436" t="str">
            <v>Ocak taşı ile kaba yonu taş inşaat</v>
          </cell>
          <cell r="C436" t="str">
            <v>M3</v>
          </cell>
          <cell r="E436">
            <v>43827968</v>
          </cell>
          <cell r="F436">
            <v>59106501</v>
          </cell>
          <cell r="G436">
            <v>91371797</v>
          </cell>
          <cell r="H436">
            <v>129428753</v>
          </cell>
        </row>
        <row r="437">
          <cell r="A437" t="str">
            <v>17.056/K</v>
          </cell>
          <cell r="B437" t="str">
            <v>Ocak taşı ile özel kaba yonu taş inşaat</v>
          </cell>
          <cell r="C437" t="str">
            <v>M3</v>
          </cell>
          <cell r="E437">
            <v>56397093</v>
          </cell>
          <cell r="F437">
            <v>76071793</v>
          </cell>
          <cell r="G437">
            <v>117394992</v>
          </cell>
          <cell r="H437">
            <v>166361287</v>
          </cell>
        </row>
        <row r="438">
          <cell r="A438" t="str">
            <v>17.061/K</v>
          </cell>
          <cell r="B438" t="str">
            <v>Ocak taşı ile ince yonu taş inşaat</v>
          </cell>
          <cell r="C438" t="str">
            <v>M3</v>
          </cell>
          <cell r="E438">
            <v>61575641</v>
          </cell>
          <cell r="F438">
            <v>83063608</v>
          </cell>
          <cell r="G438">
            <v>128090220</v>
          </cell>
          <cell r="H438">
            <v>181550712</v>
          </cell>
        </row>
        <row r="439">
          <cell r="A439" t="str">
            <v>17.066/K</v>
          </cell>
          <cell r="B439" t="str">
            <v>Ocak taşı ile özel ince yonu taş inşaat</v>
          </cell>
          <cell r="C439" t="str">
            <v>M3</v>
          </cell>
          <cell r="E439">
            <v>79671563</v>
          </cell>
          <cell r="F439">
            <v>107496905</v>
          </cell>
          <cell r="G439">
            <v>165460075</v>
          </cell>
          <cell r="H439">
            <v>234624473</v>
          </cell>
        </row>
        <row r="440">
          <cell r="A440" t="str">
            <v>17.071/K</v>
          </cell>
          <cell r="B440" t="str">
            <v>Ocak taşı ile kesme taş inşaat</v>
          </cell>
          <cell r="C440" t="str">
            <v>M3</v>
          </cell>
          <cell r="E440">
            <v>104227330</v>
          </cell>
          <cell r="F440">
            <v>140589548</v>
          </cell>
          <cell r="G440">
            <v>216453530</v>
          </cell>
          <cell r="H440">
            <v>306813247</v>
          </cell>
        </row>
        <row r="441">
          <cell r="A441" t="str">
            <v>17.081/K</v>
          </cell>
          <cell r="B441" t="str">
            <v>Ocak taşı ile istifsiz taş dolgu</v>
          </cell>
          <cell r="C441" t="str">
            <v>M3</v>
          </cell>
          <cell r="E441">
            <v>6218541</v>
          </cell>
          <cell r="F441">
            <v>8374253</v>
          </cell>
          <cell r="G441">
            <v>13129630</v>
          </cell>
          <cell r="H441">
            <v>18536176</v>
          </cell>
        </row>
        <row r="442">
          <cell r="A442" t="str">
            <v>17.081/K-1/A</v>
          </cell>
          <cell r="B442" t="str">
            <v>Dolgu altına ocak taşından makine ile istifsiz taş dolgu yapılması</v>
          </cell>
          <cell r="C442" t="str">
            <v>M3</v>
          </cell>
          <cell r="E442">
            <v>3463047</v>
          </cell>
          <cell r="F442">
            <v>4650502</v>
          </cell>
          <cell r="G442">
            <v>7456427</v>
          </cell>
          <cell r="H442">
            <v>10472116</v>
          </cell>
        </row>
        <row r="443">
          <cell r="A443" t="str">
            <v>17.082/K</v>
          </cell>
          <cell r="B443" t="str">
            <v>Kazı taşı ile istifsiz taş dolgu</v>
          </cell>
          <cell r="C443" t="str">
            <v>M3</v>
          </cell>
          <cell r="E443">
            <v>4727681</v>
          </cell>
          <cell r="F443">
            <v>6401126</v>
          </cell>
          <cell r="G443">
            <v>9751058</v>
          </cell>
          <cell r="H443">
            <v>13891747</v>
          </cell>
        </row>
        <row r="444">
          <cell r="A444" t="str">
            <v>17.082/K-1/A</v>
          </cell>
          <cell r="B444" t="str">
            <v>Dolgu altına kazı taşından makine ile istifsiz taş dolgu yapılması</v>
          </cell>
          <cell r="C444" t="str">
            <v>M3</v>
          </cell>
          <cell r="E444">
            <v>1972187</v>
          </cell>
          <cell r="F444">
            <v>2677375</v>
          </cell>
          <cell r="G444">
            <v>4077856</v>
          </cell>
          <cell r="H444">
            <v>5827687</v>
          </cell>
        </row>
        <row r="445">
          <cell r="A445" t="str">
            <v>17.084/K</v>
          </cell>
          <cell r="B445" t="str">
            <v>Ocak taşı ile istifli  taş dolgu</v>
          </cell>
          <cell r="C445" t="str">
            <v>M3</v>
          </cell>
          <cell r="E445">
            <v>7956225</v>
          </cell>
          <cell r="F445">
            <v>10718991</v>
          </cell>
          <cell r="G445">
            <v>16747592</v>
          </cell>
          <cell r="H445">
            <v>23663106</v>
          </cell>
        </row>
        <row r="446">
          <cell r="A446" t="str">
            <v>17.085/K</v>
          </cell>
          <cell r="B446" t="str">
            <v>Kazı taşı ile istifli  taş dolgu</v>
          </cell>
          <cell r="C446" t="str">
            <v>M3</v>
          </cell>
          <cell r="E446">
            <v>6316278</v>
          </cell>
          <cell r="F446">
            <v>8548551</v>
          </cell>
          <cell r="G446">
            <v>13031163</v>
          </cell>
          <cell r="H446">
            <v>18554233</v>
          </cell>
        </row>
        <row r="447">
          <cell r="A447" t="str">
            <v>17.101/K</v>
          </cell>
          <cell r="B447" t="str">
            <v>20 cm. kalınlıkta ocak taşı ile kuru pere</v>
          </cell>
          <cell r="C447" t="str">
            <v>M2</v>
          </cell>
          <cell r="E447">
            <v>3886210</v>
          </cell>
          <cell r="F447">
            <v>5242468</v>
          </cell>
          <cell r="G447">
            <v>8097720</v>
          </cell>
          <cell r="H447">
            <v>11472950</v>
          </cell>
        </row>
        <row r="448">
          <cell r="A448" t="str">
            <v>17.102/K</v>
          </cell>
          <cell r="B448" t="str">
            <v>20 cm. kalınlıkta kazı taşı ile kuru pere</v>
          </cell>
          <cell r="C448" t="str">
            <v>M2</v>
          </cell>
          <cell r="E448">
            <v>3513495</v>
          </cell>
          <cell r="F448">
            <v>4749187</v>
          </cell>
          <cell r="G448">
            <v>7253076</v>
          </cell>
          <cell r="H448">
            <v>10311842</v>
          </cell>
        </row>
        <row r="449">
          <cell r="A449" t="str">
            <v>17.103/K</v>
          </cell>
          <cell r="B449" t="str">
            <v>30 cm. kalınlıkta ocak taşı ile kuru pere</v>
          </cell>
          <cell r="C449" t="str">
            <v>M2</v>
          </cell>
          <cell r="E449">
            <v>4912293</v>
          </cell>
          <cell r="F449">
            <v>6625957</v>
          </cell>
          <cell r="G449">
            <v>10245682</v>
          </cell>
          <cell r="H449">
            <v>14512380</v>
          </cell>
        </row>
        <row r="450">
          <cell r="A450" t="str">
            <v>17.104/K</v>
          </cell>
          <cell r="B450" t="str">
            <v>30 cm. kalınlıkta kazı taşı ile kuru pere</v>
          </cell>
          <cell r="C450" t="str">
            <v>M2</v>
          </cell>
          <cell r="E450">
            <v>4390492</v>
          </cell>
          <cell r="F450">
            <v>5935362</v>
          </cell>
          <cell r="G450">
            <v>9063182</v>
          </cell>
          <cell r="H450">
            <v>12886830</v>
          </cell>
        </row>
        <row r="451">
          <cell r="A451" t="str">
            <v>17.105/K</v>
          </cell>
          <cell r="B451" t="str">
            <v>40 cm. kalınlıkta ocak taşı ile kuru pere</v>
          </cell>
          <cell r="C451" t="str">
            <v>M2</v>
          </cell>
          <cell r="E451">
            <v>6940720</v>
          </cell>
          <cell r="F451">
            <v>9361813</v>
          </cell>
          <cell r="G451">
            <v>14477940</v>
          </cell>
          <cell r="H451">
            <v>20506525</v>
          </cell>
        </row>
        <row r="452">
          <cell r="A452" t="str">
            <v>17.106/K</v>
          </cell>
          <cell r="B452" t="str">
            <v>40 cm. kalınlıkta kazı taşı ile kuru pere</v>
          </cell>
          <cell r="C452" t="str">
            <v>M2</v>
          </cell>
          <cell r="E452">
            <v>6195290</v>
          </cell>
          <cell r="F452">
            <v>8375250</v>
          </cell>
          <cell r="G452">
            <v>12788653</v>
          </cell>
          <cell r="H452">
            <v>18184311</v>
          </cell>
        </row>
        <row r="453">
          <cell r="A453" t="str">
            <v>17.107/K</v>
          </cell>
          <cell r="B453" t="str">
            <v>20 cm. kalınlıkta ocak taşı ile harçlı pere</v>
          </cell>
          <cell r="C453" t="str">
            <v>M2</v>
          </cell>
          <cell r="E453">
            <v>4724840</v>
          </cell>
          <cell r="F453">
            <v>6375372</v>
          </cell>
          <cell r="G453">
            <v>9828438</v>
          </cell>
          <cell r="H453">
            <v>13931318</v>
          </cell>
        </row>
        <row r="454">
          <cell r="A454" t="str">
            <v>17.111/K</v>
          </cell>
          <cell r="B454" t="str">
            <v>20 cm. kalınlıkta kazı taşı ile harçlı pere</v>
          </cell>
          <cell r="C454" t="str">
            <v>M2</v>
          </cell>
          <cell r="E454">
            <v>4352125</v>
          </cell>
          <cell r="F454">
            <v>5882091</v>
          </cell>
          <cell r="G454">
            <v>8983795</v>
          </cell>
          <cell r="H454">
            <v>12770211</v>
          </cell>
        </row>
        <row r="455">
          <cell r="A455" t="str">
            <v>17.116/K</v>
          </cell>
          <cell r="B455" t="str">
            <v>30 cm. kalınlıkta ocak taşı ile harçlı pere</v>
          </cell>
          <cell r="C455" t="str">
            <v>M2</v>
          </cell>
          <cell r="E455">
            <v>6066958</v>
          </cell>
          <cell r="F455">
            <v>8185838</v>
          </cell>
          <cell r="G455">
            <v>12628296</v>
          </cell>
          <cell r="H455">
            <v>17896743</v>
          </cell>
        </row>
        <row r="456">
          <cell r="A456" t="str">
            <v>17.121/K</v>
          </cell>
          <cell r="B456" t="str">
            <v>30 cm. kalınlıkta kazı taşı ile harçlı pere</v>
          </cell>
          <cell r="C456" t="str">
            <v>M2</v>
          </cell>
          <cell r="E456">
            <v>5545157</v>
          </cell>
          <cell r="F456">
            <v>7495243</v>
          </cell>
          <cell r="G456">
            <v>11445796</v>
          </cell>
          <cell r="H456">
            <v>16271193</v>
          </cell>
        </row>
        <row r="457">
          <cell r="A457" t="str">
            <v>17.126/K</v>
          </cell>
          <cell r="B457" t="str">
            <v>40 cm. kalınlıkta ocak taşı ile harçlı pere</v>
          </cell>
          <cell r="C457" t="str">
            <v>M2</v>
          </cell>
          <cell r="E457">
            <v>8360141</v>
          </cell>
          <cell r="F457">
            <v>11279371</v>
          </cell>
          <cell r="G457">
            <v>17407002</v>
          </cell>
          <cell r="H457">
            <v>24667012</v>
          </cell>
        </row>
        <row r="458">
          <cell r="A458" t="str">
            <v>17.131/K</v>
          </cell>
          <cell r="B458" t="str">
            <v>40 cm. kalınlıkta kazı taşı ile harçlı pere</v>
          </cell>
          <cell r="C458" t="str">
            <v>M2</v>
          </cell>
          <cell r="E458">
            <v>7614711</v>
          </cell>
          <cell r="F458">
            <v>10292807</v>
          </cell>
          <cell r="G458">
            <v>15717716</v>
          </cell>
          <cell r="H458">
            <v>22344798</v>
          </cell>
        </row>
        <row r="459">
          <cell r="A459" t="str">
            <v>17.136/K</v>
          </cell>
          <cell r="B459" t="str">
            <v>Ocak taşı ile blokaj</v>
          </cell>
          <cell r="C459" t="str">
            <v>M3</v>
          </cell>
          <cell r="E459">
            <v>8396925</v>
          </cell>
          <cell r="F459">
            <v>11313366</v>
          </cell>
          <cell r="G459">
            <v>17656967</v>
          </cell>
          <cell r="H459">
            <v>24954981</v>
          </cell>
        </row>
        <row r="460">
          <cell r="A460" t="str">
            <v>17.137/K</v>
          </cell>
          <cell r="B460" t="str">
            <v>Kazı taşı ile blokaj</v>
          </cell>
          <cell r="C460" t="str">
            <v>M3</v>
          </cell>
          <cell r="E460">
            <v>6756978</v>
          </cell>
          <cell r="F460">
            <v>9142926</v>
          </cell>
          <cell r="G460">
            <v>13940538</v>
          </cell>
          <cell r="H460">
            <v>19846108</v>
          </cell>
        </row>
        <row r="461">
          <cell r="A461" t="str">
            <v>17.139/K</v>
          </cell>
          <cell r="B461" t="str">
            <v>Ocak taşı ile kaldırım döşeme</v>
          </cell>
          <cell r="C461" t="str">
            <v>M2</v>
          </cell>
          <cell r="E461">
            <v>3356150</v>
          </cell>
          <cell r="F461">
            <v>4527433</v>
          </cell>
          <cell r="G461">
            <v>6995835</v>
          </cell>
          <cell r="H461">
            <v>9910065</v>
          </cell>
        </row>
        <row r="462">
          <cell r="A462" t="str">
            <v>17.141/K-1</v>
          </cell>
          <cell r="B462" t="str">
            <v>Doğal büyük parke taşı ile döşeme kaplaması yapılması (Yol, meydan, park ve benzeri yerlerde)</v>
          </cell>
          <cell r="C462" t="str">
            <v>M2</v>
          </cell>
          <cell r="E462">
            <v>9475876</v>
          </cell>
          <cell r="F462">
            <v>13218610</v>
          </cell>
          <cell r="G462">
            <v>19946950</v>
          </cell>
          <cell r="H462">
            <v>28757293</v>
          </cell>
        </row>
        <row r="463">
          <cell r="A463" t="str">
            <v>17.143/K-1</v>
          </cell>
          <cell r="B463" t="str">
            <v>Doğal mozaik parke taşı ile döşeme kaplaması yapılması (Yol, meydan, park ve benzeri yerlerde)</v>
          </cell>
          <cell r="C463" t="str">
            <v>M2</v>
          </cell>
          <cell r="E463">
            <v>14609126</v>
          </cell>
          <cell r="F463">
            <v>20447797</v>
          </cell>
          <cell r="G463">
            <v>30832512</v>
          </cell>
          <cell r="H463">
            <v>44552168</v>
          </cell>
        </row>
        <row r="464">
          <cell r="A464" t="str">
            <v>17.144/K</v>
          </cell>
          <cell r="B464" t="str">
            <v>Doğal küçük parke taşı ile döşeme kaplaması yapılması (Yol, meydan, park ve benzeri yerlerde)</v>
          </cell>
          <cell r="C464" t="str">
            <v>M2</v>
          </cell>
          <cell r="E464">
            <v>11127526</v>
          </cell>
          <cell r="F464">
            <v>15706547</v>
          </cell>
          <cell r="G464">
            <v>24016575</v>
          </cell>
          <cell r="H464">
            <v>34667481</v>
          </cell>
        </row>
        <row r="465">
          <cell r="A465" t="str">
            <v>18.181</v>
          </cell>
          <cell r="B465" t="str">
            <v>Patlayıcı madde kullanmadan harçsız kagir inşaatın yıkılması</v>
          </cell>
          <cell r="C465" t="str">
            <v>M3</v>
          </cell>
          <cell r="E465">
            <v>2303000</v>
          </cell>
          <cell r="F465">
            <v>3110625</v>
          </cell>
          <cell r="G465">
            <v>4755625</v>
          </cell>
          <cell r="H465">
            <v>6755000</v>
          </cell>
        </row>
        <row r="466">
          <cell r="A466" t="str">
            <v>18.182</v>
          </cell>
          <cell r="B466" t="str">
            <v>Patlayıcı madde kullanmadan kireç ve melez harçlı kagir inşaatın yıkılması</v>
          </cell>
          <cell r="C466" t="str">
            <v>M3</v>
          </cell>
          <cell r="E466">
            <v>3290000</v>
          </cell>
          <cell r="F466">
            <v>4443750</v>
          </cell>
          <cell r="G466">
            <v>6793750</v>
          </cell>
          <cell r="H466">
            <v>9650000</v>
          </cell>
        </row>
        <row r="467">
          <cell r="A467" t="str">
            <v>18.183</v>
          </cell>
          <cell r="B467" t="str">
            <v>Patlayıcı madde kullanmadan çimento harçlı kagir ve horasan inşaatın yıkılması</v>
          </cell>
          <cell r="C467" t="str">
            <v>M3</v>
          </cell>
          <cell r="E467">
            <v>4935000</v>
          </cell>
          <cell r="F467">
            <v>6665625</v>
          </cell>
          <cell r="G467">
            <v>10190625</v>
          </cell>
          <cell r="H467">
            <v>14475000</v>
          </cell>
        </row>
        <row r="468">
          <cell r="A468" t="str">
            <v>18.184</v>
          </cell>
          <cell r="B468" t="str">
            <v>Her türlü yıkımdan çıkan taş ve tuğlanın ayrılması</v>
          </cell>
          <cell r="C468" t="str">
            <v>M3</v>
          </cell>
          <cell r="E468">
            <v>1974000</v>
          </cell>
          <cell r="F468">
            <v>2666250</v>
          </cell>
          <cell r="G468">
            <v>4076250</v>
          </cell>
          <cell r="H468">
            <v>5790000</v>
          </cell>
        </row>
        <row r="469">
          <cell r="A469" t="str">
            <v>18.185</v>
          </cell>
          <cell r="B469" t="str">
            <v>Patlayıcı madde kullanmadan demirli ve demirsiz beton inşaatın yıkılması</v>
          </cell>
          <cell r="C469" t="str">
            <v>M3</v>
          </cell>
          <cell r="E469">
            <v>10199000</v>
          </cell>
          <cell r="F469">
            <v>13775625</v>
          </cell>
          <cell r="G469">
            <v>21060625</v>
          </cell>
          <cell r="H469">
            <v>29915000</v>
          </cell>
        </row>
        <row r="470">
          <cell r="A470" t="str">
            <v>18.186</v>
          </cell>
          <cell r="B470" t="str">
            <v>Demirli beton inşaatın yıkılmasından çıkan demirlerin ayrılması</v>
          </cell>
          <cell r="C470" t="str">
            <v>KG</v>
          </cell>
          <cell r="E470">
            <v>32900</v>
          </cell>
          <cell r="F470">
            <v>44437</v>
          </cell>
          <cell r="G470">
            <v>67937</v>
          </cell>
          <cell r="H470">
            <v>96500</v>
          </cell>
        </row>
        <row r="471">
          <cell r="A471" t="str">
            <v>18.187</v>
          </cell>
          <cell r="B471" t="str">
            <v>Patlayıcı madde kullanılarak her cins harçlı kagir ve horasan inşaatın yıkılması</v>
          </cell>
          <cell r="C471" t="str">
            <v>M3</v>
          </cell>
          <cell r="E471">
            <v>4316075</v>
          </cell>
          <cell r="F471">
            <v>5823375</v>
          </cell>
          <cell r="G471">
            <v>9029500</v>
          </cell>
          <cell r="H471">
            <v>12789000</v>
          </cell>
        </row>
        <row r="472">
          <cell r="A472" t="str">
            <v>18.188</v>
          </cell>
          <cell r="B472" t="str">
            <v>Patlayıcı madde kullanılarak demirli ve demirsiz beton inşaatın yıkılması</v>
          </cell>
          <cell r="C472" t="str">
            <v>M3</v>
          </cell>
          <cell r="E472">
            <v>6554800</v>
          </cell>
          <cell r="F472">
            <v>8842500</v>
          </cell>
          <cell r="G472">
            <v>13705625</v>
          </cell>
          <cell r="H472">
            <v>19408125</v>
          </cell>
        </row>
        <row r="473">
          <cell r="A473" t="str">
            <v>18.189</v>
          </cell>
          <cell r="B473" t="str">
            <v>Parke, beton plak, adi kaldırım ve blokaj sökülmesi</v>
          </cell>
          <cell r="C473" t="str">
            <v>M2</v>
          </cell>
          <cell r="E473">
            <v>658000</v>
          </cell>
          <cell r="F473">
            <v>888750</v>
          </cell>
          <cell r="G473">
            <v>1358750</v>
          </cell>
          <cell r="H473">
            <v>1930000</v>
          </cell>
        </row>
        <row r="474">
          <cell r="A474" t="str">
            <v>18.190</v>
          </cell>
          <cell r="B474" t="str">
            <v>Kırmataş, şose ve asfalt sökülmesi</v>
          </cell>
          <cell r="C474" t="str">
            <v>M3</v>
          </cell>
          <cell r="E474">
            <v>3619000</v>
          </cell>
          <cell r="F474">
            <v>4888125</v>
          </cell>
          <cell r="G474">
            <v>7473125</v>
          </cell>
          <cell r="H474">
            <v>10615000</v>
          </cell>
        </row>
        <row r="475">
          <cell r="A475" t="str">
            <v>18.191</v>
          </cell>
          <cell r="B475" t="str">
            <v>Bordür sökülmesi</v>
          </cell>
          <cell r="C475" t="str">
            <v>MT</v>
          </cell>
          <cell r="E475">
            <v>164500</v>
          </cell>
          <cell r="F475">
            <v>222187</v>
          </cell>
          <cell r="G475">
            <v>339687</v>
          </cell>
          <cell r="H475">
            <v>482500</v>
          </cell>
        </row>
        <row r="476">
          <cell r="A476" t="str">
            <v>18.401/K</v>
          </cell>
          <cell r="B476" t="str">
            <v>Ø 10 cm. iç çapında 400 dozlu beton büz döşenmesi (Mecra veya kanalizasyon için) (Cidar kalınlığı 2,5 cm.)</v>
          </cell>
          <cell r="C476" t="str">
            <v>MT</v>
          </cell>
          <cell r="E476">
            <v>1502867</v>
          </cell>
          <cell r="F476">
            <v>2029373</v>
          </cell>
          <cell r="G476">
            <v>3105603</v>
          </cell>
          <cell r="H476">
            <v>4410333</v>
          </cell>
        </row>
        <row r="477">
          <cell r="A477" t="str">
            <v>18.405/K</v>
          </cell>
          <cell r="B477" t="str">
            <v>Ø 15 cm. iç çapında 400 dozlu beton büz döşenmesi (Mecra veya kanalizasyon için) (Cidar kalınlığı 3 cm.)</v>
          </cell>
          <cell r="C477" t="str">
            <v>MT</v>
          </cell>
          <cell r="E477">
            <v>1790005</v>
          </cell>
          <cell r="F477">
            <v>2417198</v>
          </cell>
          <cell r="G477">
            <v>3698387</v>
          </cell>
          <cell r="H477">
            <v>5252326</v>
          </cell>
        </row>
        <row r="478">
          <cell r="A478" t="str">
            <v>18.409/K</v>
          </cell>
          <cell r="B478" t="str">
            <v>Ø 20 cm. iç çapında 400 dozlu beton büz döşenmesi (Mecra veya kanalizasyon için) (Cidar kalınlığı 3,5 cm.)</v>
          </cell>
          <cell r="C478" t="str">
            <v>MT</v>
          </cell>
          <cell r="D478">
            <v>15524</v>
          </cell>
          <cell r="E478">
            <v>2073932</v>
          </cell>
          <cell r="F478">
            <v>2800603</v>
          </cell>
          <cell r="G478">
            <v>4285091</v>
          </cell>
          <cell r="H478">
            <v>6085493</v>
          </cell>
        </row>
        <row r="479">
          <cell r="A479" t="str">
            <v>18.413/K</v>
          </cell>
          <cell r="B479" t="str">
            <v>Ø 25 cm. iç çapında 400 dozlu beton büz döşenmesi (Mecra veya kanalizasyon için) (Cidar kalınlığı 4 cm.)</v>
          </cell>
          <cell r="C479" t="str">
            <v>MT</v>
          </cell>
          <cell r="E479">
            <v>2366050</v>
          </cell>
          <cell r="F479">
            <v>3195038</v>
          </cell>
          <cell r="G479">
            <v>4888896</v>
          </cell>
          <cell r="H479">
            <v>6942871</v>
          </cell>
        </row>
        <row r="480">
          <cell r="A480" t="str">
            <v>18.417/K</v>
          </cell>
          <cell r="B480" t="str">
            <v>Ø 30 cm. iç çapında 400 dozlu beton büz döşenmesi (Mecra veya kanalizasyon için) (Cidar kalınlığı 4,5 cm.)</v>
          </cell>
          <cell r="C480" t="str">
            <v>MT</v>
          </cell>
          <cell r="E480">
            <v>2960158</v>
          </cell>
          <cell r="F480">
            <v>3997383</v>
          </cell>
          <cell r="G480">
            <v>6116272</v>
          </cell>
          <cell r="H480">
            <v>8685987</v>
          </cell>
        </row>
        <row r="481">
          <cell r="A481" t="str">
            <v>18.421/K</v>
          </cell>
          <cell r="B481" t="str">
            <v>Ø 35 cm. iç çapında 400 dozlu beton büz döşenmesi (Mecra veya kanalizasyon için) (Cidar kalınlığı 5 cm.)</v>
          </cell>
          <cell r="C481" t="str">
            <v>MT</v>
          </cell>
          <cell r="E481">
            <v>3441032</v>
          </cell>
          <cell r="F481">
            <v>4646772</v>
          </cell>
          <cell r="G481">
            <v>7109806</v>
          </cell>
          <cell r="H481">
            <v>10096955</v>
          </cell>
        </row>
        <row r="482">
          <cell r="A482" t="str">
            <v>18.425/K</v>
          </cell>
          <cell r="B482" t="str">
            <v>Ø 40 cm. iç çapında 400 dozlu beton büz döşenmesi (Mecra veya kanalizasyon için) (Cidar kalınlığı 5,5 cm.)</v>
          </cell>
          <cell r="C482" t="str">
            <v>MT</v>
          </cell>
          <cell r="E482">
            <v>3914592</v>
          </cell>
          <cell r="F482">
            <v>5286272</v>
          </cell>
          <cell r="G482">
            <v>8088168</v>
          </cell>
          <cell r="H482">
            <v>11486355</v>
          </cell>
        </row>
        <row r="483">
          <cell r="A483" t="str">
            <v>18.429/K</v>
          </cell>
          <cell r="B483" t="str">
            <v>Ø 50 cm. iç çapında 400 dozlu beton büz döşenmesi (Mecra veya kanalizasyon için) (Cidar kalınlığı 6,5 cm.)</v>
          </cell>
          <cell r="C483" t="str">
            <v>MT</v>
          </cell>
          <cell r="E483">
            <v>4890281</v>
          </cell>
          <cell r="F483">
            <v>6604037</v>
          </cell>
          <cell r="G483">
            <v>10102873</v>
          </cell>
          <cell r="H483">
            <v>14347840</v>
          </cell>
        </row>
        <row r="484">
          <cell r="A484" t="str">
            <v>18.433/K</v>
          </cell>
          <cell r="B484" t="str">
            <v>Ø 60 cm. iç çapında 400 dozlu beton büz döşenmesi (Mecra veya kanalizasyon için) (Cidar kalınlığı 7,5 cm.)</v>
          </cell>
          <cell r="C484" t="str">
            <v>MT</v>
          </cell>
          <cell r="E484">
            <v>6276943</v>
          </cell>
          <cell r="F484">
            <v>8476922</v>
          </cell>
          <cell r="G484">
            <v>12966086</v>
          </cell>
          <cell r="H484">
            <v>18414576</v>
          </cell>
        </row>
        <row r="485">
          <cell r="A485" t="str">
            <v>18.437/K</v>
          </cell>
          <cell r="B485" t="str">
            <v>Ø 80 cm. iç çapında 400 dozlu beton büz döşenmesi (Mecra veya kanalizasyon için) (Cidar kalınlığı 9,5 cm.)</v>
          </cell>
          <cell r="C485" t="str">
            <v>MT</v>
          </cell>
          <cell r="E485">
            <v>9665241</v>
          </cell>
          <cell r="F485">
            <v>13053352</v>
          </cell>
          <cell r="G485">
            <v>19962186</v>
          </cell>
          <cell r="H485">
            <v>28351555</v>
          </cell>
        </row>
        <row r="486">
          <cell r="A486" t="str">
            <v>18.441/K</v>
          </cell>
          <cell r="B486" t="str">
            <v>Ø 60 cm. iç çapında 400 dozlu özel beton büz döşenmesi (Menfez için) (Cidar kalınlığı 9 cm.)</v>
          </cell>
          <cell r="C486" t="str">
            <v>MT</v>
          </cell>
          <cell r="E486">
            <v>7696677</v>
          </cell>
          <cell r="F486">
            <v>10394317</v>
          </cell>
          <cell r="G486">
            <v>15898426</v>
          </cell>
          <cell r="H486">
            <v>22579226</v>
          </cell>
        </row>
        <row r="487">
          <cell r="A487" t="str">
            <v>18.445/K</v>
          </cell>
          <cell r="B487" t="str">
            <v>Ø 80 cm. iç çapında 400 dozlu özel beton büz döşenmesi (Menfez için) (Cidar kalınlığı 11 cm.)</v>
          </cell>
          <cell r="C487" t="str">
            <v>MT</v>
          </cell>
          <cell r="E487">
            <v>11211152</v>
          </cell>
          <cell r="F487">
            <v>15141231</v>
          </cell>
          <cell r="G487">
            <v>23154676</v>
          </cell>
          <cell r="H487">
            <v>32885740</v>
          </cell>
        </row>
        <row r="488">
          <cell r="A488" t="str">
            <v>18.449/K</v>
          </cell>
          <cell r="B488" t="str">
            <v>Ø 120 cm. iç çapında 400 dozlu özel beton büz döşenmesi (Menfez için)(Cidar kalınlığı 15 cm.)</v>
          </cell>
          <cell r="C488" t="str">
            <v>MT</v>
          </cell>
          <cell r="E488">
            <v>20759593</v>
          </cell>
          <cell r="F488">
            <v>28037997</v>
          </cell>
          <cell r="G488">
            <v>42867852</v>
          </cell>
          <cell r="H488">
            <v>60885830</v>
          </cell>
        </row>
        <row r="489">
          <cell r="A489" t="str">
            <v>18.450/K</v>
          </cell>
          <cell r="B489" t="str">
            <v>Ø 10 cm. iç çapında 400 dozlu beton büz döşenmesi (Drenaj için) (Cidar kalınlığı 2,5 cm.)</v>
          </cell>
          <cell r="C489" t="str">
            <v>MT</v>
          </cell>
          <cell r="E489">
            <v>1322842</v>
          </cell>
          <cell r="F489">
            <v>1785286</v>
          </cell>
          <cell r="G489">
            <v>2733605</v>
          </cell>
          <cell r="H489">
            <v>3881563</v>
          </cell>
        </row>
        <row r="490">
          <cell r="A490" t="str">
            <v>18.451/K</v>
          </cell>
          <cell r="B490" t="str">
            <v>Ø 15 cm. iç çapında 400 dozlu beton büz döşenmesi (Drenaj için) (Cidar kalınlığı 3 cm.)</v>
          </cell>
          <cell r="C490" t="str">
            <v>MT</v>
          </cell>
          <cell r="E490">
            <v>1605418</v>
          </cell>
          <cell r="F490">
            <v>2166622</v>
          </cell>
          <cell r="G490">
            <v>3316888</v>
          </cell>
          <cell r="H490">
            <v>4709923</v>
          </cell>
        </row>
        <row r="491">
          <cell r="A491" t="str">
            <v>18.452/K</v>
          </cell>
          <cell r="B491" t="str">
            <v>Ø 20 cm. iç çapında 400 dozlu beton büz döşenmesi (Drenaj için) (Cidar kalınlığı 3,5 cm.)</v>
          </cell>
          <cell r="C491" t="str">
            <v>MT</v>
          </cell>
          <cell r="E491">
            <v>1802602</v>
          </cell>
          <cell r="F491">
            <v>2432452</v>
          </cell>
          <cell r="G491">
            <v>3724355</v>
          </cell>
          <cell r="H491">
            <v>5288333</v>
          </cell>
        </row>
        <row r="492">
          <cell r="A492" t="str">
            <v>18.453/K</v>
          </cell>
          <cell r="B492" t="str">
            <v>Ø 25 cm. iç çapında 400 dozlu beton büz döşenmesi (Drenaj için) (Cidar kalınlığı 4 cm.)</v>
          </cell>
          <cell r="C492" t="str">
            <v>MT</v>
          </cell>
          <cell r="E492">
            <v>2090157</v>
          </cell>
          <cell r="F492">
            <v>2820400</v>
          </cell>
          <cell r="G492">
            <v>4318660</v>
          </cell>
          <cell r="H492">
            <v>6132080</v>
          </cell>
        </row>
        <row r="493">
          <cell r="A493" t="str">
            <v>18.454/K</v>
          </cell>
          <cell r="B493" t="str">
            <v>Ø 30 cm. iç çapında 400 dozlu beton büz döşenmesi (Drenaj için) (Cidar kalınlığı 4,5 cm.)</v>
          </cell>
          <cell r="C493" t="str">
            <v>MT</v>
          </cell>
          <cell r="E493">
            <v>2680692</v>
          </cell>
          <cell r="F493">
            <v>3617482</v>
          </cell>
          <cell r="G493">
            <v>5538550</v>
          </cell>
          <cell r="H493">
            <v>7864376</v>
          </cell>
        </row>
        <row r="494">
          <cell r="A494" t="str">
            <v>18.455/K</v>
          </cell>
          <cell r="B494" t="str">
            <v>Ø 35 cm. iç çapında 400 dozlu beton büz döşenmesi (Drenaj için) (Cidar kalınlığı 5 cm.)</v>
          </cell>
          <cell r="C494" t="str">
            <v>MT</v>
          </cell>
          <cell r="E494">
            <v>3157003</v>
          </cell>
          <cell r="F494">
            <v>4260382</v>
          </cell>
          <cell r="G494">
            <v>6522583</v>
          </cell>
          <cell r="H494">
            <v>9261711</v>
          </cell>
        </row>
        <row r="495">
          <cell r="A495" t="str">
            <v>18.456/K</v>
          </cell>
          <cell r="B495" t="str">
            <v>Ø 40 cm. iç çapında 400 dozlu beton büz döşenmesi (Drenaj için) (Cidar kalınlığı 5,5 cm.)</v>
          </cell>
          <cell r="C495" t="str">
            <v>MT</v>
          </cell>
          <cell r="E495">
            <v>3626990</v>
          </cell>
          <cell r="F495">
            <v>4894620</v>
          </cell>
          <cell r="G495">
            <v>7493458</v>
          </cell>
          <cell r="H495">
            <v>10640292</v>
          </cell>
        </row>
        <row r="496">
          <cell r="A496" t="str">
            <v>18.457/K</v>
          </cell>
          <cell r="B496" t="str">
            <v>Ø 50 cm. iç çapında 400 dozlu beton büz döşenmesi (Drenaj için) (Cidar kalınlığı 6,5 cm.)</v>
          </cell>
          <cell r="C496" t="str">
            <v>MT</v>
          </cell>
          <cell r="E496">
            <v>4602067</v>
          </cell>
          <cell r="F496">
            <v>6210797</v>
          </cell>
          <cell r="G496">
            <v>9506713</v>
          </cell>
          <cell r="H496">
            <v>13499395</v>
          </cell>
        </row>
        <row r="497">
          <cell r="A497" t="str">
            <v>18.458/K</v>
          </cell>
          <cell r="B497" t="str">
            <v>Ø 60 cm. iç çapında 400 dozlu beton büz döşenmesi (Drenaj için) (Cidar kalınlığı 7,5 cm.)</v>
          </cell>
          <cell r="C497" t="str">
            <v>MT</v>
          </cell>
          <cell r="E497">
            <v>5988117</v>
          </cell>
          <cell r="F497">
            <v>8082093</v>
          </cell>
          <cell r="G497">
            <v>12368476</v>
          </cell>
          <cell r="H497">
            <v>17563748</v>
          </cell>
        </row>
        <row r="498">
          <cell r="A498" t="str">
            <v>18.459/K</v>
          </cell>
          <cell r="B498" t="str">
            <v>Ø 80 cm. iç çapında 400 dozlu beton büz döşenmesi (Drenaj için) (Cidar kalınlığı 9,5 cm.)</v>
          </cell>
          <cell r="C498" t="str">
            <v>MT</v>
          </cell>
          <cell r="E498">
            <v>9275986</v>
          </cell>
          <cell r="F498">
            <v>12521485</v>
          </cell>
          <cell r="G498">
            <v>19156840</v>
          </cell>
          <cell r="H498">
            <v>27205075</v>
          </cell>
        </row>
        <row r="499">
          <cell r="A499" t="str">
            <v>1901</v>
          </cell>
          <cell r="B499" t="str">
            <v>Lastik tekerlekli traktörün 1 saatlik ücreti (Takriben 45 HP gücünde)</v>
          </cell>
          <cell r="C499" t="str">
            <v>SA</v>
          </cell>
          <cell r="D499">
            <v>32082</v>
          </cell>
          <cell r="E499">
            <v>3712464</v>
          </cell>
          <cell r="F499">
            <v>4882636</v>
          </cell>
          <cell r="G499">
            <v>8634097</v>
          </cell>
          <cell r="H499">
            <v>12084312</v>
          </cell>
        </row>
        <row r="500">
          <cell r="A500" t="str">
            <v>1902</v>
          </cell>
          <cell r="B500" t="str">
            <v>Plentmiks karışım imaline mahsus agrega silosunun 1 saatlik ücreti (4 bölmeli, 100 ton/saat kapasiteli)</v>
          </cell>
          <cell r="C500" t="str">
            <v>SA</v>
          </cell>
          <cell r="D500">
            <v>20754</v>
          </cell>
          <cell r="E500">
            <v>2281966</v>
          </cell>
          <cell r="F500">
            <v>2987905</v>
          </cell>
          <cell r="G500">
            <v>5423928</v>
          </cell>
          <cell r="H500">
            <v>7519010</v>
          </cell>
        </row>
        <row r="501">
          <cell r="A501" t="str">
            <v>1902/1</v>
          </cell>
          <cell r="B501" t="str">
            <v>Plentmiks karışım imaline mahsus agrega silosunun 1 saatlik ücreti (4 bölmeli, 50 ton/saat kapasiteli)</v>
          </cell>
          <cell r="C501" t="str">
            <v>SA</v>
          </cell>
          <cell r="D501">
            <v>13247</v>
          </cell>
          <cell r="E501">
            <v>1490887</v>
          </cell>
          <cell r="F501">
            <v>1966540</v>
          </cell>
          <cell r="G501">
            <v>3440904</v>
          </cell>
          <cell r="H501">
            <v>4770680</v>
          </cell>
        </row>
        <row r="502">
          <cell r="A502" t="str">
            <v>1903</v>
          </cell>
          <cell r="B502" t="str">
            <v>Plentmiks karışım imaline mahsus küçük eleme tesisinin 1 saatlik ücreti(40 ton/saat kapasiteli)</v>
          </cell>
          <cell r="C502" t="str">
            <v>SA</v>
          </cell>
          <cell r="D502">
            <v>83047</v>
          </cell>
          <cell r="E502">
            <v>9707378</v>
          </cell>
          <cell r="F502">
            <v>12978480</v>
          </cell>
          <cell r="G502">
            <v>21169528</v>
          </cell>
          <cell r="H502">
            <v>29298160</v>
          </cell>
        </row>
        <row r="503">
          <cell r="A503" t="str">
            <v>1904</v>
          </cell>
          <cell r="B503" t="str">
            <v>Plentmiks karışım imaline mahsus büyük eleme tesisinin 1 saatlik ücreti(100 ton/saat kapasiteli)</v>
          </cell>
          <cell r="C503" t="str">
            <v>SA</v>
          </cell>
          <cell r="D503">
            <v>113748</v>
          </cell>
          <cell r="E503">
            <v>12857336</v>
          </cell>
          <cell r="F503">
            <v>17284115</v>
          </cell>
          <cell r="G503">
            <v>27507744</v>
          </cell>
          <cell r="H503">
            <v>37521430</v>
          </cell>
        </row>
        <row r="504">
          <cell r="A504" t="str">
            <v>1905</v>
          </cell>
          <cell r="B504" t="str">
            <v>Treyler distribütörün 1 saatlik ücreti (500 ABD galonluk)</v>
          </cell>
          <cell r="C504" t="str">
            <v>SA</v>
          </cell>
          <cell r="D504">
            <v>38943</v>
          </cell>
          <cell r="E504">
            <v>4460580</v>
          </cell>
          <cell r="F504">
            <v>5840825</v>
          </cell>
          <cell r="G504">
            <v>10554848</v>
          </cell>
          <cell r="H504">
            <v>14784690</v>
          </cell>
        </row>
        <row r="505">
          <cell r="A505" t="str">
            <v>1906</v>
          </cell>
          <cell r="B505" t="str">
            <v>Distribütörün 1 saatlik ücreti (1500 ABD galonluk, kamyona monte edilmiş)</v>
          </cell>
          <cell r="C505" t="str">
            <v>SA</v>
          </cell>
          <cell r="D505">
            <v>101133</v>
          </cell>
          <cell r="E505">
            <v>11539510</v>
          </cell>
          <cell r="F505">
            <v>15138592</v>
          </cell>
          <cell r="G505">
            <v>27124570</v>
          </cell>
          <cell r="H505">
            <v>37901184</v>
          </cell>
        </row>
        <row r="506">
          <cell r="A506" t="str">
            <v>1907</v>
          </cell>
          <cell r="B506" t="str">
            <v>Plentmiks soğuk karışımlar için küçük kurutma makinesinin 1 saatlik ücreti (Max.75 C) (Takriben 60-80 HP gücünde, 40 ton/saat kapasiteli)</v>
          </cell>
          <cell r="C506" t="str">
            <v>SA</v>
          </cell>
          <cell r="D506">
            <v>277757</v>
          </cell>
          <cell r="E506">
            <v>30898466</v>
          </cell>
          <cell r="F506">
            <v>39900380</v>
          </cell>
          <cell r="G506">
            <v>77014928</v>
          </cell>
          <cell r="H506">
            <v>108200760</v>
          </cell>
        </row>
        <row r="507">
          <cell r="A507" t="str">
            <v>1908</v>
          </cell>
          <cell r="B507" t="str">
            <v>Plentmiks sıcak karışımlar için küçük kurutma makinesinin 1 saatlik ücreti (Max.175 C) (Takriben 60-80 HP gücünde, 40 ton/saat kapasiteli)</v>
          </cell>
          <cell r="C507" t="str">
            <v>SA</v>
          </cell>
          <cell r="D507">
            <v>470057</v>
          </cell>
          <cell r="E507">
            <v>52138466</v>
          </cell>
          <cell r="F507">
            <v>67020380</v>
          </cell>
          <cell r="G507">
            <v>132034928</v>
          </cell>
          <cell r="H507">
            <v>185960760</v>
          </cell>
        </row>
        <row r="508">
          <cell r="A508" t="str">
            <v>1909</v>
          </cell>
          <cell r="B508" t="str">
            <v>Plentmiks soğuk karışımlar için büyük kurutma makinesinin 1 saatlik ücreti (Max. 75 C) (Takriben 100-120 HP gücünde, 100 ton/saat kapasiteli)</v>
          </cell>
          <cell r="C508" t="str">
            <v>SA</v>
          </cell>
          <cell r="D508">
            <v>577467</v>
          </cell>
          <cell r="E508">
            <v>63116479</v>
          </cell>
          <cell r="F508">
            <v>81296807</v>
          </cell>
          <cell r="G508">
            <v>158946914</v>
          </cell>
          <cell r="H508">
            <v>222745614</v>
          </cell>
        </row>
        <row r="509">
          <cell r="A509" t="str">
            <v>1910</v>
          </cell>
          <cell r="B509" t="str">
            <v>Plentmiks sıcak karışımlar için büyük kurutma makinesinin 1 saatlik ücreti (Max.175 C) (Takriben 100-120 HP gücünde, 100 ton/saat kapasiteli)</v>
          </cell>
          <cell r="C509" t="str">
            <v>SA</v>
          </cell>
          <cell r="D509">
            <v>1138342</v>
          </cell>
          <cell r="E509">
            <v>125066479</v>
          </cell>
          <cell r="F509">
            <v>160396807</v>
          </cell>
          <cell r="G509">
            <v>319421914</v>
          </cell>
          <cell r="H509">
            <v>449545614</v>
          </cell>
        </row>
        <row r="510">
          <cell r="A510" t="str">
            <v>1911</v>
          </cell>
          <cell r="B510" t="str">
            <v>Asfalt tankının 1 günlük ücreti (40 tonluk,ısıtma tertibatlı)</v>
          </cell>
          <cell r="C510" t="str">
            <v>GN</v>
          </cell>
          <cell r="D510">
            <v>17618</v>
          </cell>
          <cell r="E510">
            <v>1558972</v>
          </cell>
          <cell r="F510">
            <v>2105200</v>
          </cell>
          <cell r="G510">
            <v>3366800</v>
          </cell>
          <cell r="H510">
            <v>4208500</v>
          </cell>
        </row>
        <row r="511">
          <cell r="A511" t="str">
            <v>1911/1</v>
          </cell>
          <cell r="B511" t="str">
            <v>Su tankının 1 günlük ücreti (40 m3 hacminde)</v>
          </cell>
          <cell r="C511" t="str">
            <v>GN</v>
          </cell>
          <cell r="D511">
            <v>11326</v>
          </cell>
          <cell r="E511">
            <v>1001862</v>
          </cell>
          <cell r="F511">
            <v>1352800</v>
          </cell>
          <cell r="G511">
            <v>2164100</v>
          </cell>
          <cell r="H511">
            <v>2705600</v>
          </cell>
        </row>
        <row r="512">
          <cell r="A512" t="str">
            <v>1912</v>
          </cell>
          <cell r="B512" t="str">
            <v>Süpürge makinesinin 1 saatlik ücreti (9 feet'lik, motorsuz, çekilir tip, döner tamburlu)</v>
          </cell>
          <cell r="C512" t="str">
            <v>SA</v>
          </cell>
          <cell r="D512">
            <v>20225</v>
          </cell>
          <cell r="E512">
            <v>2614547</v>
          </cell>
          <cell r="F512">
            <v>3525532</v>
          </cell>
          <cell r="G512">
            <v>5450884</v>
          </cell>
          <cell r="H512">
            <v>7686504</v>
          </cell>
        </row>
        <row r="513">
          <cell r="A513" t="str">
            <v>1913</v>
          </cell>
          <cell r="B513" t="str">
            <v>Mıcır serici makinesinin 1 saatlik ücreti (12 feet'lik, motorsuz, çekilir tip, yayıcı merdaneli)</v>
          </cell>
          <cell r="C513" t="str">
            <v>SA</v>
          </cell>
          <cell r="D513">
            <v>52184</v>
          </cell>
          <cell r="E513">
            <v>6878623</v>
          </cell>
          <cell r="F513">
            <v>9288155</v>
          </cell>
          <cell r="G513">
            <v>14243756</v>
          </cell>
          <cell r="H513">
            <v>20162550</v>
          </cell>
        </row>
        <row r="514">
          <cell r="A514" t="str">
            <v>1914</v>
          </cell>
          <cell r="B514" t="str">
            <v>Rodmikser makinesinin 1 saatlik ücreti (Takriben 100 HP gücünde, 50 m3/saat kapasiteli)</v>
          </cell>
          <cell r="C514" t="str">
            <v>SA</v>
          </cell>
          <cell r="D514">
            <v>102771</v>
          </cell>
          <cell r="E514">
            <v>11579654</v>
          </cell>
          <cell r="F514">
            <v>15245669</v>
          </cell>
          <cell r="G514">
            <v>26898036</v>
          </cell>
          <cell r="H514">
            <v>37356295</v>
          </cell>
        </row>
        <row r="515">
          <cell r="A515" t="str">
            <v>1915</v>
          </cell>
          <cell r="B515" t="str">
            <v>Pulvomikser makinesinin 1 saatlik ücreti (Takriben 50 HP gücünde, 25 m3/saat kapasiteli, çekilir tip)</v>
          </cell>
          <cell r="C515" t="str">
            <v>SA</v>
          </cell>
          <cell r="D515">
            <v>46970</v>
          </cell>
          <cell r="E515">
            <v>5461546</v>
          </cell>
          <cell r="F515">
            <v>7166086</v>
          </cell>
          <cell r="G515">
            <v>12808249</v>
          </cell>
          <cell r="H515">
            <v>17979372</v>
          </cell>
        </row>
        <row r="516">
          <cell r="A516" t="str">
            <v>1916</v>
          </cell>
          <cell r="B516" t="str">
            <v>Plentmiks soğuk karışımlar için çekilir tip mikserin 1 saatlik ücreti (Max.75 C) (Takriben 22 HP gücünde, 5 ton/saat kapasiteli)</v>
          </cell>
          <cell r="C516" t="str">
            <v>SA</v>
          </cell>
          <cell r="E516">
            <v>8854500</v>
          </cell>
          <cell r="F516">
            <v>11514325</v>
          </cell>
          <cell r="G516">
            <v>21488848</v>
          </cell>
          <cell r="H516">
            <v>30249690</v>
          </cell>
        </row>
        <row r="517">
          <cell r="A517" t="str">
            <v>1917</v>
          </cell>
          <cell r="B517" t="str">
            <v>Plentmiks sıcak karışımlar için çekilir tip mikserin 1 saatlik ücreti (Max.175 C) (Takriben 22 HP gücünde, 5 ton/saat kapasiteli)</v>
          </cell>
          <cell r="C517" t="str">
            <v>SA</v>
          </cell>
          <cell r="E517">
            <v>15934500</v>
          </cell>
          <cell r="F517">
            <v>20554325</v>
          </cell>
          <cell r="G517">
            <v>39828848</v>
          </cell>
          <cell r="H517">
            <v>56169690</v>
          </cell>
        </row>
        <row r="518">
          <cell r="A518" t="str">
            <v>1918</v>
          </cell>
          <cell r="B518" t="str">
            <v>Plentmiks karışımlar için sıcak tip küçük mikserin 1 saatlik ücreti(Takriben 60-80 HP gücünde, 40 ton/saat kapasiteli)</v>
          </cell>
          <cell r="C518" t="str">
            <v>SA</v>
          </cell>
          <cell r="E518">
            <v>11397716</v>
          </cell>
          <cell r="F518">
            <v>15077943</v>
          </cell>
          <cell r="G518">
            <v>25895283</v>
          </cell>
          <cell r="H518">
            <v>36215643</v>
          </cell>
        </row>
        <row r="519">
          <cell r="A519" t="str">
            <v>1919</v>
          </cell>
          <cell r="B519" t="str">
            <v>Plentmiks karışımlar için sıcak tip büyük mikserin 1 saatlik ücreti (Takriben 110 HP gücünde, 100 ton/saat kapasiteli)</v>
          </cell>
          <cell r="C519" t="str">
            <v>SA</v>
          </cell>
          <cell r="D519">
            <v>144553</v>
          </cell>
          <cell r="E519">
            <v>15865009</v>
          </cell>
          <cell r="F519">
            <v>21083370</v>
          </cell>
          <cell r="G519">
            <v>35643512</v>
          </cell>
          <cell r="H519">
            <v>48750740</v>
          </cell>
        </row>
        <row r="520">
          <cell r="A520" t="str">
            <v>1921</v>
          </cell>
          <cell r="B520" t="str">
            <v>Plentmiks karışımlar için küçük finişerin 1 saatlik ücreti (Takriben 30-50 HP gücünde, 100 ton/saat kapasiteli)</v>
          </cell>
          <cell r="C520" t="str">
            <v>SA</v>
          </cell>
          <cell r="E520">
            <v>8357564</v>
          </cell>
          <cell r="F520">
            <v>11101919</v>
          </cell>
          <cell r="G520">
            <v>18727796</v>
          </cell>
          <cell r="H520">
            <v>25907595</v>
          </cell>
        </row>
        <row r="521">
          <cell r="A521" t="str">
            <v>1922</v>
          </cell>
          <cell r="B521" t="str">
            <v>Plentmiks karışımlar için büyük finişerin 1 saatlik ücreti (Takriben 80-100 HP gücünde, 200 ton/saat kapasiteli)</v>
          </cell>
          <cell r="C521" t="str">
            <v>SA</v>
          </cell>
          <cell r="D521">
            <v>116302</v>
          </cell>
          <cell r="E521">
            <v>12667146</v>
          </cell>
          <cell r="F521">
            <v>16738687</v>
          </cell>
          <cell r="G521">
            <v>29103322</v>
          </cell>
          <cell r="H521">
            <v>39925374</v>
          </cell>
        </row>
        <row r="522">
          <cell r="A522" t="str">
            <v>1922/1</v>
          </cell>
          <cell r="B522" t="str">
            <v>Plentmiks karışımlar için elektronik duyargalı finişerin 1 saatlik ücreti (Takriben 60-100 HP gücünde, 300 ton/saat kapasiteli ve 5-10 m3 hazneli)</v>
          </cell>
          <cell r="C522" t="str">
            <v>SA</v>
          </cell>
          <cell r="D522">
            <v>130529</v>
          </cell>
          <cell r="E522">
            <v>13924525</v>
          </cell>
          <cell r="F522">
            <v>18436042</v>
          </cell>
          <cell r="G522">
            <v>31819090</v>
          </cell>
          <cell r="H522">
            <v>43320084</v>
          </cell>
        </row>
        <row r="523">
          <cell r="A523" t="str">
            <v>1923</v>
          </cell>
          <cell r="B523" t="str">
            <v>Agrega serme makinesinin 1 saatlik ücreti (Takriben 23 HP gücünde, 25 m3/saat kapasiteli)</v>
          </cell>
          <cell r="C523" t="str">
            <v>SA</v>
          </cell>
          <cell r="E523">
            <v>10633898</v>
          </cell>
          <cell r="F523">
            <v>14230945</v>
          </cell>
          <cell r="G523">
            <v>22935568</v>
          </cell>
          <cell r="H523">
            <v>32377890</v>
          </cell>
        </row>
        <row r="524">
          <cell r="A524" t="str">
            <v>1924</v>
          </cell>
          <cell r="B524" t="str">
            <v>Buhar jeneratörünün 1 saatlik ücreti (Takriben 30 HP gücünde, buhar istihsal eden, 40 tonluk 3 tankı paralel ısıtabilen, hortumları ile birlikte)</v>
          </cell>
          <cell r="C524" t="str">
            <v>SA</v>
          </cell>
          <cell r="D524">
            <v>92749</v>
          </cell>
          <cell r="E524">
            <v>10634391</v>
          </cell>
          <cell r="F524">
            <v>13865826</v>
          </cell>
          <cell r="G524">
            <v>25559651</v>
          </cell>
          <cell r="H524">
            <v>35928192</v>
          </cell>
        </row>
        <row r="525">
          <cell r="A525" t="str">
            <v>1925</v>
          </cell>
          <cell r="B525" t="str">
            <v>Asfalt pompasının 1 saatlik  ücreti (Takriben 25 HP gücünde, 50 ton/saat kapasiteli, 2-3" lik-3" dahil-hortumları ile birlikte)</v>
          </cell>
          <cell r="C525" t="str">
            <v>SA</v>
          </cell>
          <cell r="D525">
            <v>41984</v>
          </cell>
          <cell r="E525">
            <v>5018716</v>
          </cell>
          <cell r="F525">
            <v>6595076</v>
          </cell>
          <cell r="G525">
            <v>11680001</v>
          </cell>
          <cell r="H525">
            <v>16491192</v>
          </cell>
        </row>
        <row r="526">
          <cell r="A526" t="str">
            <v>1926</v>
          </cell>
          <cell r="B526" t="str">
            <v>Figüre tanzim makinesinin 1 saatlik ücreti (0,50 m2 figüre kesitli, çekilir tip)</v>
          </cell>
          <cell r="C526" t="str">
            <v>SA</v>
          </cell>
          <cell r="E526">
            <v>1801057</v>
          </cell>
          <cell r="F526">
            <v>2430252</v>
          </cell>
          <cell r="G526">
            <v>3744435</v>
          </cell>
          <cell r="H526">
            <v>5295457</v>
          </cell>
        </row>
        <row r="527">
          <cell r="A527" t="str">
            <v>1927</v>
          </cell>
          <cell r="B527" t="str">
            <v>Agrega yıkama makinesinin 1 saatlik  ücreti (Takriben 30 HP gücünde, 25 m3/saat kapasiteli)</v>
          </cell>
          <cell r="C527" t="str">
            <v>SA</v>
          </cell>
          <cell r="E527">
            <v>4870945</v>
          </cell>
          <cell r="F527">
            <v>6447170</v>
          </cell>
          <cell r="G527">
            <v>11036545</v>
          </cell>
          <cell r="H527">
            <v>15461300</v>
          </cell>
        </row>
        <row r="528">
          <cell r="A528" t="str">
            <v>1930</v>
          </cell>
          <cell r="B528" t="str">
            <v>Elevatörün 1 saatlik ücreti (Takriben 15 HP gücünde, 10-18 m. boyunda ve 60 cm. bant genişliğinde)</v>
          </cell>
          <cell r="C528" t="str">
            <v>SA</v>
          </cell>
          <cell r="E528">
            <v>1479342</v>
          </cell>
          <cell r="F528">
            <v>1927361</v>
          </cell>
          <cell r="G528">
            <v>3579789</v>
          </cell>
          <cell r="H528">
            <v>4979122</v>
          </cell>
        </row>
        <row r="529">
          <cell r="A529" t="str">
            <v>1932</v>
          </cell>
          <cell r="B529" t="str">
            <v>Çimento silosunun 1 saatlik ücreti (Basınçlı hava tertibatlı, 10 HP gücünde, takriben 80-100 m3 hacminde, 10-14 ton/saat kapasiteli)</v>
          </cell>
          <cell r="C529" t="str">
            <v>SA</v>
          </cell>
          <cell r="E529">
            <v>2480652</v>
          </cell>
          <cell r="F529">
            <v>3302899</v>
          </cell>
          <cell r="G529">
            <v>5492284</v>
          </cell>
          <cell r="H529">
            <v>7656155</v>
          </cell>
        </row>
        <row r="530">
          <cell r="A530" t="str">
            <v>1934</v>
          </cell>
          <cell r="B530" t="str">
            <v>Mineral filler besleyicisinin 1 saatlik ücreti(15 HP gücünde)</v>
          </cell>
          <cell r="C530" t="str">
            <v>SA</v>
          </cell>
          <cell r="E530">
            <v>1741229</v>
          </cell>
          <cell r="F530">
            <v>2281243</v>
          </cell>
          <cell r="G530">
            <v>4118703</v>
          </cell>
          <cell r="H530">
            <v>5752643</v>
          </cell>
        </row>
        <row r="531">
          <cell r="A531" t="str">
            <v>1936</v>
          </cell>
          <cell r="B531" t="str">
            <v>Stabilizasyon karıştırıcısının 1 saatlik ücreti (100-200 ton/saat kapasiteli, 80-120 HP gücünde)</v>
          </cell>
          <cell r="C531" t="str">
            <v>SA</v>
          </cell>
          <cell r="E531">
            <v>13403302</v>
          </cell>
          <cell r="F531">
            <v>17631192</v>
          </cell>
          <cell r="G531">
            <v>31162170</v>
          </cell>
          <cell r="H531">
            <v>43627584</v>
          </cell>
        </row>
        <row r="532">
          <cell r="A532" t="str">
            <v>1940</v>
          </cell>
          <cell r="B532" t="str">
            <v>Mastik asfalt yapımı için ısıtma ve karıştırma makinesinin 1 saatlik ücreti (1 ton /saat kapasiteli)</v>
          </cell>
          <cell r="C532" t="str">
            <v>SA</v>
          </cell>
          <cell r="E532">
            <v>13547184</v>
          </cell>
          <cell r="F532">
            <v>17512488</v>
          </cell>
          <cell r="G532">
            <v>33630640</v>
          </cell>
          <cell r="H532">
            <v>47282016</v>
          </cell>
        </row>
        <row r="533">
          <cell r="A533" t="str">
            <v>1941</v>
          </cell>
          <cell r="B533" t="str">
            <v>Bordür yapma makinesinin bir saatlik ücreti</v>
          </cell>
          <cell r="C533" t="str">
            <v>SA</v>
          </cell>
          <cell r="E533">
            <v>4379971</v>
          </cell>
          <cell r="F533">
            <v>5820248</v>
          </cell>
          <cell r="G533">
            <v>9789400</v>
          </cell>
          <cell r="H533">
            <v>13590256</v>
          </cell>
        </row>
        <row r="534">
          <cell r="A534" t="str">
            <v>204-609</v>
          </cell>
          <cell r="B534" t="str">
            <v>Yumuşak polietilen basınçlı boru (dış çapı =50 mm)</v>
          </cell>
          <cell r="C534" t="str">
            <v>MT</v>
          </cell>
          <cell r="G534">
            <v>1752000</v>
          </cell>
        </row>
        <row r="535">
          <cell r="A535" t="str">
            <v>204-611</v>
          </cell>
          <cell r="B535" t="str">
            <v>Yumuşak polietilen basınçlı boru (dış çapı =63 mm)</v>
          </cell>
          <cell r="C535" t="str">
            <v>MT</v>
          </cell>
          <cell r="G535">
            <v>2648000</v>
          </cell>
        </row>
        <row r="536">
          <cell r="A536" t="str">
            <v>21.001</v>
          </cell>
          <cell r="B536" t="str">
            <v>Ahşaptan yapılan seri kalıp</v>
          </cell>
          <cell r="C536" t="str">
            <v>M2</v>
          </cell>
          <cell r="E536">
            <v>1339245</v>
          </cell>
          <cell r="F536">
            <v>1682818</v>
          </cell>
          <cell r="G536">
            <v>2943625</v>
          </cell>
          <cell r="H536">
            <v>3856812</v>
          </cell>
        </row>
        <row r="537">
          <cell r="A537" t="str">
            <v>21.011</v>
          </cell>
          <cell r="B537" t="str">
            <v>Düz yüzeyli beton ve betonarme kalıbı</v>
          </cell>
          <cell r="C537" t="str">
            <v>M2</v>
          </cell>
          <cell r="E537">
            <v>3249190</v>
          </cell>
          <cell r="F537">
            <v>4087902</v>
          </cell>
          <cell r="G537">
            <v>7132500</v>
          </cell>
          <cell r="H537">
            <v>9354687</v>
          </cell>
        </row>
        <row r="538">
          <cell r="A538" t="str">
            <v>21.013</v>
          </cell>
          <cell r="B538" t="str">
            <v>Rendeli, düz yüzeyli beton, betonarme kalıbı</v>
          </cell>
          <cell r="C538" t="str">
            <v>M2</v>
          </cell>
          <cell r="E538">
            <v>3934430</v>
          </cell>
          <cell r="F538">
            <v>4963855</v>
          </cell>
          <cell r="G538">
            <v>8617500</v>
          </cell>
          <cell r="H538">
            <v>11335937</v>
          </cell>
        </row>
        <row r="539">
          <cell r="A539" t="str">
            <v>21.031</v>
          </cell>
          <cell r="B539" t="str">
            <v>Eğri yüzeyli kagir inşaat kalıbı</v>
          </cell>
          <cell r="C539" t="str">
            <v>M2</v>
          </cell>
          <cell r="E539">
            <v>5168120</v>
          </cell>
          <cell r="F539">
            <v>6578870</v>
          </cell>
          <cell r="G539">
            <v>11236875</v>
          </cell>
          <cell r="H539">
            <v>14924062</v>
          </cell>
        </row>
        <row r="540">
          <cell r="A540" t="str">
            <v>21.040</v>
          </cell>
          <cell r="B540" t="str">
            <v>Menfezlerde düz yüzeyli, rendeli, beton ve betonarme kalıbı</v>
          </cell>
          <cell r="C540" t="str">
            <v>M2</v>
          </cell>
          <cell r="E540">
            <v>4410770</v>
          </cell>
          <cell r="F540">
            <v>5557307</v>
          </cell>
          <cell r="G540">
            <v>9670625</v>
          </cell>
          <cell r="H540">
            <v>12704062</v>
          </cell>
        </row>
        <row r="541">
          <cell r="A541" t="str">
            <v>21.042</v>
          </cell>
          <cell r="B541" t="str">
            <v>Köprülerde düz yüzeyli, rendeli ve lamba zıvanalı beton ve betonarme kalıbı</v>
          </cell>
          <cell r="C541" t="str">
            <v>M2</v>
          </cell>
          <cell r="D541">
            <v>60844</v>
          </cell>
          <cell r="E541">
            <v>7824240</v>
          </cell>
          <cell r="F541">
            <v>9891921</v>
          </cell>
          <cell r="G541">
            <v>17107500</v>
          </cell>
          <cell r="H541">
            <v>22555000</v>
          </cell>
        </row>
        <row r="542">
          <cell r="A542" t="str">
            <v>21.051</v>
          </cell>
          <cell r="B542" t="str">
            <v>Menfezlerde 6 m. ve daha küçük göz açıklıkları için döşeme, kiriş ve kemer taşıyıcı iskeleleri (Kompozit menfezler hariç)</v>
          </cell>
          <cell r="C542" t="str">
            <v>M3</v>
          </cell>
          <cell r="E542">
            <v>1339418</v>
          </cell>
          <cell r="F542">
            <v>1691002</v>
          </cell>
          <cell r="G542">
            <v>2930850</v>
          </cell>
          <cell r="H542">
            <v>3856562</v>
          </cell>
        </row>
        <row r="543">
          <cell r="A543" t="str">
            <v>21.052</v>
          </cell>
          <cell r="B543" t="str">
            <v>Menfezlerde 6 m.den büyük göz açıklıkları için döşeme, kiriş ve kemer taşıyıcı iskeleleri (Kompozit menfezler hariç)</v>
          </cell>
          <cell r="C543" t="str">
            <v>M3</v>
          </cell>
          <cell r="E543">
            <v>2827165</v>
          </cell>
          <cell r="F543">
            <v>3527207</v>
          </cell>
          <cell r="G543">
            <v>6245850</v>
          </cell>
          <cell r="H543">
            <v>8118018</v>
          </cell>
        </row>
        <row r="544">
          <cell r="A544" t="str">
            <v>21.053</v>
          </cell>
          <cell r="B544" t="str">
            <v>Köprülerde döşeme, kiriş ve kemer taşıyıcı iskeleleri (Kompozit köprüler hariç)</v>
          </cell>
          <cell r="C544" t="str">
            <v>M3</v>
          </cell>
          <cell r="E544">
            <v>3494838</v>
          </cell>
          <cell r="F544">
            <v>4380768</v>
          </cell>
          <cell r="G544">
            <v>7692050</v>
          </cell>
          <cell r="H544">
            <v>10047556</v>
          </cell>
        </row>
        <row r="545">
          <cell r="A545" t="str">
            <v>21.057</v>
          </cell>
          <cell r="B545" t="str">
            <v>Tünel iskelesi (Serbest açıklığı 10 m.ve daha küçük)</v>
          </cell>
          <cell r="C545" t="str">
            <v>M3</v>
          </cell>
          <cell r="E545">
            <v>1187180</v>
          </cell>
          <cell r="F545">
            <v>1491387</v>
          </cell>
          <cell r="G545">
            <v>2608672</v>
          </cell>
          <cell r="H545">
            <v>3414757</v>
          </cell>
        </row>
        <row r="546">
          <cell r="A546" t="str">
            <v>21.060</v>
          </cell>
          <cell r="B546" t="str">
            <v>Tünel iskelesi (Serbest açıklığı 10 m.den büyük)</v>
          </cell>
          <cell r="C546" t="str">
            <v>M3</v>
          </cell>
          <cell r="E546">
            <v>1828960</v>
          </cell>
          <cell r="F546">
            <v>2317382</v>
          </cell>
          <cell r="G546">
            <v>3991112</v>
          </cell>
          <cell r="H546">
            <v>5272650</v>
          </cell>
        </row>
        <row r="547">
          <cell r="A547" t="str">
            <v>21.101</v>
          </cell>
          <cell r="B547" t="str">
            <v>Ahşap menfez ve köprülerde "Döşeme, baskı kirişi, izlik ve korkuluk"</v>
          </cell>
          <cell r="C547" t="str">
            <v>M3</v>
          </cell>
          <cell r="E547">
            <v>206430000</v>
          </cell>
          <cell r="F547">
            <v>249897687</v>
          </cell>
          <cell r="G547">
            <v>467053125</v>
          </cell>
          <cell r="H547">
            <v>588525000</v>
          </cell>
        </row>
        <row r="548">
          <cell r="A548" t="str">
            <v>21.111</v>
          </cell>
          <cell r="B548" t="str">
            <v>Ahşap menfez ve köprülerde "Kiriş, başlık ve bağlantılar"</v>
          </cell>
          <cell r="C548" t="str">
            <v>M3</v>
          </cell>
          <cell r="E548">
            <v>207322800</v>
          </cell>
          <cell r="F548">
            <v>251480187</v>
          </cell>
          <cell r="G548">
            <v>468203125</v>
          </cell>
          <cell r="H548">
            <v>591548750</v>
          </cell>
        </row>
        <row r="549">
          <cell r="A549" t="str">
            <v>21.116</v>
          </cell>
          <cell r="B549" t="str">
            <v>Ahşaptan "2 veya 3 katlı kamalı, dişli, tokmaklı kirişler"</v>
          </cell>
          <cell r="C549" t="str">
            <v>M3</v>
          </cell>
          <cell r="E549">
            <v>199633000</v>
          </cell>
          <cell r="F549">
            <v>244810625</v>
          </cell>
          <cell r="G549">
            <v>447096875</v>
          </cell>
          <cell r="H549">
            <v>571150000</v>
          </cell>
        </row>
        <row r="550">
          <cell r="A550" t="str">
            <v>21.121</v>
          </cell>
          <cell r="B550" t="str">
            <v>Her tip ahşap "Kafes kiriş"</v>
          </cell>
          <cell r="C550" t="str">
            <v>M3</v>
          </cell>
          <cell r="E550">
            <v>265845000</v>
          </cell>
          <cell r="F550">
            <v>329268375</v>
          </cell>
          <cell r="G550">
            <v>590796875</v>
          </cell>
          <cell r="H550">
            <v>762475000</v>
          </cell>
        </row>
        <row r="551">
          <cell r="A551" t="str">
            <v>2204</v>
          </cell>
          <cell r="B551" t="str">
            <v>Dolgu altlarındaki her cins zayıf (Bitkisel toprak vs) ve oynak (Batak ve balçık)zeminlerin kazılması ve kullanılması</v>
          </cell>
          <cell r="C551" t="str">
            <v>M3</v>
          </cell>
          <cell r="E551">
            <v>0</v>
          </cell>
          <cell r="F551">
            <v>0</v>
          </cell>
          <cell r="G551">
            <v>0</v>
          </cell>
        </row>
        <row r="552">
          <cell r="A552" t="str">
            <v>2205</v>
          </cell>
          <cell r="B552" t="str">
            <v>Her cins toprağın sulanması ve sıkıştırılması</v>
          </cell>
          <cell r="C552" t="str">
            <v>M3</v>
          </cell>
          <cell r="D552">
            <v>2200</v>
          </cell>
          <cell r="E552">
            <v>239402</v>
          </cell>
          <cell r="F552">
            <v>311833</v>
          </cell>
          <cell r="G552">
            <v>580143</v>
          </cell>
          <cell r="H552">
            <v>805317</v>
          </cell>
        </row>
        <row r="553">
          <cell r="A553" t="str">
            <v>2206</v>
          </cell>
          <cell r="B553" t="str">
            <v>Her cins küskülüğün sulanması ve sıkıştırılması</v>
          </cell>
          <cell r="C553" t="str">
            <v>M3</v>
          </cell>
          <cell r="D553">
            <v>1194</v>
          </cell>
          <cell r="E553">
            <v>129672</v>
          </cell>
          <cell r="F553">
            <v>168908</v>
          </cell>
          <cell r="G553">
            <v>314256</v>
          </cell>
          <cell r="H553">
            <v>436020</v>
          </cell>
        </row>
        <row r="554">
          <cell r="A554" t="str">
            <v>2207</v>
          </cell>
          <cell r="B554" t="str">
            <v>Her cins kayanın sıkıştırılması</v>
          </cell>
          <cell r="C554" t="str">
            <v>M3</v>
          </cell>
          <cell r="D554">
            <v>375</v>
          </cell>
          <cell r="E554">
            <v>39883</v>
          </cell>
          <cell r="F554">
            <v>51968</v>
          </cell>
          <cell r="G554">
            <v>96737</v>
          </cell>
          <cell r="H554">
            <v>133448</v>
          </cell>
        </row>
        <row r="555">
          <cell r="A555" t="str">
            <v>2209</v>
          </cell>
          <cell r="B555" t="str">
            <v>Dolguya gelen her cins ve klastaki kazı malzemesinin sulanması ve sıkıştırılması</v>
          </cell>
          <cell r="C555" t="str">
            <v>M3</v>
          </cell>
          <cell r="E555">
            <v>0</v>
          </cell>
          <cell r="F555">
            <v>0</v>
          </cell>
        </row>
        <row r="556">
          <cell r="A556" t="str">
            <v>2210</v>
          </cell>
          <cell r="B556" t="str">
            <v>Her cins toprağın kazılması ve kullanılması ( Ariyet ocağı kazısı için)</v>
          </cell>
          <cell r="C556" t="str">
            <v>M3</v>
          </cell>
          <cell r="E556">
            <v>0</v>
          </cell>
          <cell r="F556">
            <v>0</v>
          </cell>
          <cell r="G556">
            <v>783207</v>
          </cell>
          <cell r="H556">
            <v>1041089</v>
          </cell>
          <cell r="I556">
            <v>1160341</v>
          </cell>
        </row>
        <row r="557">
          <cell r="A557" t="str">
            <v>2220</v>
          </cell>
          <cell r="B557" t="str">
            <v>Her cins küskülüğün kazılması ve kullanılması  ( Ariyet ocağı kazısı için)</v>
          </cell>
          <cell r="C557" t="str">
            <v>M3</v>
          </cell>
          <cell r="E557">
            <v>0</v>
          </cell>
          <cell r="F557">
            <v>0</v>
          </cell>
          <cell r="G557">
            <v>1272556</v>
          </cell>
          <cell r="H557">
            <v>1708317</v>
          </cell>
          <cell r="I557">
            <v>1889745</v>
          </cell>
        </row>
        <row r="558">
          <cell r="A558" t="str">
            <v>2230/1</v>
          </cell>
          <cell r="B558" t="str">
            <v>Yumuşak kayanın kazılması ve kullanılması  ( Ariyet ocağı kazısı için)</v>
          </cell>
          <cell r="C558" t="str">
            <v>M3</v>
          </cell>
          <cell r="E558">
            <v>0</v>
          </cell>
          <cell r="F558">
            <v>0</v>
          </cell>
          <cell r="G558">
            <v>3589174</v>
          </cell>
          <cell r="H558">
            <v>4924113</v>
          </cell>
          <cell r="I558">
            <v>5243849</v>
          </cell>
        </row>
        <row r="559">
          <cell r="A559" t="str">
            <v>2230/2</v>
          </cell>
          <cell r="B559" t="str">
            <v>Sert kaya kazılması ve kullanılması  ( Ariyet ocağı kazısı için)</v>
          </cell>
          <cell r="C559" t="str">
            <v>M3</v>
          </cell>
          <cell r="E559">
            <v>0</v>
          </cell>
          <cell r="F559">
            <v>0</v>
          </cell>
          <cell r="G559">
            <v>4444376</v>
          </cell>
          <cell r="H559">
            <v>6109131</v>
          </cell>
          <cell r="I559">
            <v>6538253</v>
          </cell>
        </row>
        <row r="560">
          <cell r="A560" t="str">
            <v>2230/3</v>
          </cell>
          <cell r="B560" t="str">
            <v>Çok sert kayanın kazılması ve kullanılması  ( Ariyet ocağı kazısı için)</v>
          </cell>
          <cell r="C560" t="str">
            <v>M3</v>
          </cell>
          <cell r="E560">
            <v>0</v>
          </cell>
          <cell r="F560">
            <v>0</v>
          </cell>
          <cell r="G560">
            <v>5785995</v>
          </cell>
          <cell r="H560">
            <v>7967534</v>
          </cell>
          <cell r="I560">
            <v>8593619</v>
          </cell>
        </row>
        <row r="561">
          <cell r="A561" t="str">
            <v>2240</v>
          </cell>
          <cell r="B561" t="str">
            <v>Ağaç kesme (Her çapta)</v>
          </cell>
          <cell r="C561" t="str">
            <v>AD</v>
          </cell>
          <cell r="E561">
            <v>0</v>
          </cell>
          <cell r="F561">
            <v>0</v>
          </cell>
          <cell r="G561">
            <v>0</v>
          </cell>
        </row>
        <row r="562">
          <cell r="A562" t="str">
            <v>2240/1</v>
          </cell>
          <cell r="B562" t="str">
            <v>Ağaç kökü sökme (Her çapta)</v>
          </cell>
          <cell r="C562" t="str">
            <v>AD</v>
          </cell>
          <cell r="E562">
            <v>0</v>
          </cell>
          <cell r="F562">
            <v>0</v>
          </cell>
          <cell r="G562">
            <v>0</v>
          </cell>
        </row>
        <row r="563">
          <cell r="A563" t="str">
            <v>23.001/K</v>
          </cell>
          <cell r="B563" t="str">
            <v>Betonarme için Ø 6- Ø 12 mm.lik yuvarlak demir işçiliği</v>
          </cell>
          <cell r="C563" t="str">
            <v>TN</v>
          </cell>
          <cell r="E563">
            <v>94151000</v>
          </cell>
          <cell r="F563">
            <v>127162500</v>
          </cell>
          <cell r="G563">
            <v>194456250</v>
          </cell>
          <cell r="H563">
            <v>276168750</v>
          </cell>
        </row>
        <row r="564">
          <cell r="A564" t="str">
            <v>23.002/K</v>
          </cell>
          <cell r="B564" t="str">
            <v>Betonarme için Ø 14 mm. ve daha büyük çaptaki yuvarlak demir işçiliği</v>
          </cell>
          <cell r="C564" t="str">
            <v>TN</v>
          </cell>
          <cell r="E564">
            <v>64486000</v>
          </cell>
          <cell r="F564">
            <v>87093750</v>
          </cell>
          <cell r="G564">
            <v>133181250</v>
          </cell>
          <cell r="H564">
            <v>189150000</v>
          </cell>
        </row>
        <row r="565">
          <cell r="A565" t="str">
            <v>23.002/K-1</v>
          </cell>
          <cell r="B565" t="str">
            <v>Öngerilmeli beton için özel çelikle kablo teşkili işçiliği</v>
          </cell>
          <cell r="C565" t="str">
            <v>TN</v>
          </cell>
          <cell r="E565">
            <v>284760000</v>
          </cell>
          <cell r="F565">
            <v>384581250</v>
          </cell>
          <cell r="G565">
            <v>588068750</v>
          </cell>
          <cell r="H565">
            <v>835200000</v>
          </cell>
        </row>
        <row r="566">
          <cell r="A566" t="str">
            <v>23.002/K-2</v>
          </cell>
          <cell r="B566" t="str">
            <v>Boyuna kablo gerilmesi</v>
          </cell>
          <cell r="C566" t="str">
            <v>AD</v>
          </cell>
          <cell r="E566">
            <v>22902998</v>
          </cell>
          <cell r="F566">
            <v>30778482</v>
          </cell>
          <cell r="G566">
            <v>49089426</v>
          </cell>
          <cell r="H566">
            <v>68262625</v>
          </cell>
        </row>
        <row r="567">
          <cell r="A567" t="str">
            <v>23.002/K-3</v>
          </cell>
          <cell r="B567" t="str">
            <v>Enine kablo gerilmesi</v>
          </cell>
          <cell r="C567" t="str">
            <v>AD</v>
          </cell>
          <cell r="E567">
            <v>11451498</v>
          </cell>
          <cell r="F567">
            <v>15389241</v>
          </cell>
          <cell r="G567">
            <v>24544712</v>
          </cell>
          <cell r="H567">
            <v>34131312</v>
          </cell>
        </row>
        <row r="568">
          <cell r="A568" t="str">
            <v>23.002/K-6</v>
          </cell>
          <cell r="B568" t="str">
            <v>Boyuna ve enine önçekim, öngerme çeliğinin (Tel, demet, çubuk) yerlerine konulması, gerilmesi, gevşetilmesi ve kesilmesi işçiliği</v>
          </cell>
          <cell r="C568" t="str">
            <v>TN</v>
          </cell>
          <cell r="E568">
            <v>1274075962</v>
          </cell>
          <cell r="F568">
            <v>1727659312</v>
          </cell>
          <cell r="G568">
            <v>2832385600</v>
          </cell>
          <cell r="H568">
            <v>3724439812</v>
          </cell>
        </row>
        <row r="569">
          <cell r="A569" t="str">
            <v>23.003/10</v>
          </cell>
          <cell r="B569" t="str">
            <v>20 mm. çapındaki yuvarlak demirlerin 25 cm. uzunlukta bindirmeli olarak kaynakla eklenmesi, 20 mm. çapındaki ankraj demirinin ucuna ve 32 mm.lik yuvarlak demirin içine diş açılarak montajının yapılması</v>
          </cell>
          <cell r="C569" t="str">
            <v>AD</v>
          </cell>
          <cell r="E569">
            <v>4422158</v>
          </cell>
          <cell r="F569">
            <v>5956570</v>
          </cell>
          <cell r="G569">
            <v>9302632</v>
          </cell>
          <cell r="H569">
            <v>13246218</v>
          </cell>
        </row>
        <row r="570">
          <cell r="A570" t="str">
            <v>23.004/1</v>
          </cell>
          <cell r="B570" t="str">
            <v>Betonarme için Ø28 mm.lik yuvarlak demirin manşonla eklenmesi (Manşon İdareden)</v>
          </cell>
          <cell r="C570" t="str">
            <v>AD</v>
          </cell>
          <cell r="E570">
            <v>2727502</v>
          </cell>
          <cell r="F570">
            <v>3683190</v>
          </cell>
          <cell r="G570">
            <v>5632752</v>
          </cell>
          <cell r="H570">
            <v>79998777</v>
          </cell>
        </row>
        <row r="571">
          <cell r="A571" t="str">
            <v>23.004/K</v>
          </cell>
          <cell r="B571" t="str">
            <v>Betonarme için Ø28 mm.lik yuvarlak demirin manşonla eklenmesi</v>
          </cell>
          <cell r="C571" t="str">
            <v>AD</v>
          </cell>
          <cell r="E571">
            <v>4701845</v>
          </cell>
          <cell r="F571">
            <v>6319815</v>
          </cell>
          <cell r="G571">
            <v>9853377</v>
          </cell>
          <cell r="H571">
            <v>14097440</v>
          </cell>
        </row>
        <row r="572">
          <cell r="A572" t="str">
            <v>23.005/1</v>
          </cell>
          <cell r="B572" t="str">
            <v>Betonarme için Ø30 mm.lik yuvarlak demirin manşonla eklenmesi (Manşon İdareden)</v>
          </cell>
          <cell r="C572" t="str">
            <v>AD</v>
          </cell>
          <cell r="E572">
            <v>3015273</v>
          </cell>
          <cell r="F572">
            <v>4071816</v>
          </cell>
          <cell r="G572">
            <v>6227066</v>
          </cell>
          <cell r="H572">
            <v>8843941</v>
          </cell>
        </row>
        <row r="573">
          <cell r="A573" t="str">
            <v>23.005/K</v>
          </cell>
          <cell r="B573" t="str">
            <v>Betonarme için Ø30 mm.lik yuvarlak demirin manşonla eklenmesi</v>
          </cell>
          <cell r="C573" t="str">
            <v>AD</v>
          </cell>
          <cell r="E573">
            <v>5351190</v>
          </cell>
          <cell r="F573">
            <v>7189191</v>
          </cell>
          <cell r="G573">
            <v>11231066</v>
          </cell>
          <cell r="H573">
            <v>16080503</v>
          </cell>
        </row>
        <row r="574">
          <cell r="A574" t="str">
            <v>23.006/1</v>
          </cell>
          <cell r="B574" t="str">
            <v>Betonarme için Ø32 mm.lik yuvarlak demirin manşonla eklenmesi (Manşon İdareden)</v>
          </cell>
          <cell r="C574" t="str">
            <v>AD</v>
          </cell>
          <cell r="E574">
            <v>3184295</v>
          </cell>
          <cell r="F574">
            <v>4300067</v>
          </cell>
          <cell r="G574">
            <v>6576130</v>
          </cell>
          <cell r="H574">
            <v>9339692</v>
          </cell>
        </row>
        <row r="575">
          <cell r="A575" t="str">
            <v>23.006/K</v>
          </cell>
          <cell r="B575" t="str">
            <v>Betonarme için Ø32 mm.lik yuvarlak demirin manşonla eklenmesi</v>
          </cell>
          <cell r="C575" t="str">
            <v>AD</v>
          </cell>
          <cell r="E575">
            <v>5769743</v>
          </cell>
          <cell r="F575">
            <v>7746192</v>
          </cell>
          <cell r="G575">
            <v>12135442</v>
          </cell>
          <cell r="H575">
            <v>17393755</v>
          </cell>
        </row>
        <row r="576">
          <cell r="A576" t="str">
            <v>23.007/1</v>
          </cell>
          <cell r="B576" t="str">
            <v>Betonarme için Ø36 mm.lik yuvarlak demirin manşonla eklenmesi (Manşon İdareden)</v>
          </cell>
          <cell r="C576" t="str">
            <v>AD</v>
          </cell>
          <cell r="E576">
            <v>3878586</v>
          </cell>
          <cell r="F576">
            <v>5237693</v>
          </cell>
          <cell r="G576">
            <v>8010006</v>
          </cell>
          <cell r="H576">
            <v>11376131</v>
          </cell>
        </row>
        <row r="577">
          <cell r="A577" t="str">
            <v>23.007/K</v>
          </cell>
          <cell r="B577" t="str">
            <v>Betonarme için Ø36 mm.lik yuvarlak demirin manşonla eklenmesi</v>
          </cell>
          <cell r="C577" t="str">
            <v>AD</v>
          </cell>
          <cell r="E577">
            <v>7031580</v>
          </cell>
          <cell r="F577">
            <v>9433818</v>
          </cell>
          <cell r="G577">
            <v>14821381</v>
          </cell>
          <cell r="H577">
            <v>21266068</v>
          </cell>
        </row>
        <row r="578">
          <cell r="A578" t="str">
            <v>23.008/1</v>
          </cell>
          <cell r="B578" t="str">
            <v>Betonarme için Ø40 mm.lik yuvarlak demirin manşonla eklenmesi (Manşon İdareden)</v>
          </cell>
          <cell r="C578" t="str">
            <v>AD</v>
          </cell>
          <cell r="E578">
            <v>4454127</v>
          </cell>
          <cell r="F578">
            <v>6014945</v>
          </cell>
          <cell r="G578">
            <v>9198632</v>
          </cell>
          <cell r="H578">
            <v>13064257</v>
          </cell>
        </row>
        <row r="579">
          <cell r="A579" t="str">
            <v>23.008/K</v>
          </cell>
          <cell r="B579" t="str">
            <v>Betonarme için Ø40 mm.lik yuvarlak demirin manşonla eklenmesi</v>
          </cell>
          <cell r="C579" t="str">
            <v>AD</v>
          </cell>
          <cell r="E579">
            <v>8255178</v>
          </cell>
          <cell r="F579">
            <v>11061570</v>
          </cell>
          <cell r="G579">
            <v>17468320</v>
          </cell>
          <cell r="H579">
            <v>25111820</v>
          </cell>
        </row>
        <row r="580">
          <cell r="A580" t="str">
            <v>23.009/1</v>
          </cell>
          <cell r="B580" t="str">
            <v>Betonarme için Ø50 mm.lik yuvarlak demirin manşonla eklenmesi (Manşon İdareden)</v>
          </cell>
          <cell r="C580" t="str">
            <v>AD</v>
          </cell>
          <cell r="E580">
            <v>5317440</v>
          </cell>
          <cell r="F580">
            <v>7180822</v>
          </cell>
          <cell r="G580">
            <v>10981572</v>
          </cell>
          <cell r="H580">
            <v>15596447</v>
          </cell>
        </row>
        <row r="581">
          <cell r="A581" t="str">
            <v>23.009/K</v>
          </cell>
          <cell r="B581" t="str">
            <v>Betonarme için Ø50 mm.lik yuvarlak demirin manşonla eklenmesi</v>
          </cell>
          <cell r="C581" t="str">
            <v>AD</v>
          </cell>
          <cell r="E581">
            <v>10397230</v>
          </cell>
          <cell r="F581">
            <v>13865197</v>
          </cell>
          <cell r="G581">
            <v>22325197</v>
          </cell>
          <cell r="H581">
            <v>32322010</v>
          </cell>
        </row>
        <row r="582">
          <cell r="A582" t="str">
            <v>23.014/K</v>
          </cell>
          <cell r="B582" t="str">
            <v>Betonarme için Ø 5-Ø 12 mm.lik ince nervürlü çelik işçiliği</v>
          </cell>
          <cell r="C582" t="str">
            <v>TN</v>
          </cell>
          <cell r="E582">
            <v>88504000</v>
          </cell>
          <cell r="F582">
            <v>119531250</v>
          </cell>
          <cell r="G582">
            <v>182787500</v>
          </cell>
          <cell r="H582">
            <v>259600000</v>
          </cell>
        </row>
        <row r="583">
          <cell r="A583" t="str">
            <v>23.015/K</v>
          </cell>
          <cell r="B583" t="str">
            <v>Betonarme için Ø 14-Ø 28 mm.lik kalın nervürlü çelik işçiliği</v>
          </cell>
          <cell r="C583" t="str">
            <v>TN</v>
          </cell>
          <cell r="E583">
            <v>73071000</v>
          </cell>
          <cell r="F583">
            <v>98687500</v>
          </cell>
          <cell r="G583">
            <v>150912500</v>
          </cell>
          <cell r="H583">
            <v>214331250</v>
          </cell>
        </row>
        <row r="584">
          <cell r="A584" t="str">
            <v>23.061</v>
          </cell>
          <cell r="B584" t="str">
            <v>Münferit olarak kullanılan hertürlü profil demirlerinin hazıırlanması ve yerine tespiti. (34 Kg/m ye kadar ağırlıktaki)</v>
          </cell>
          <cell r="C584" t="str">
            <v>TN</v>
          </cell>
          <cell r="G584">
            <v>760737500</v>
          </cell>
        </row>
        <row r="585">
          <cell r="A585" t="str">
            <v>23.081</v>
          </cell>
          <cell r="B585" t="str">
            <v>Profil demirlerinden çatı makası yapılması ve yerine konulması.</v>
          </cell>
          <cell r="C585" t="str">
            <v>TN</v>
          </cell>
          <cell r="G585">
            <v>1244543750</v>
          </cell>
        </row>
        <row r="586">
          <cell r="A586" t="str">
            <v>23.101/K</v>
          </cell>
          <cell r="B586" t="str">
            <v>Profilli demirden kirişler, başlıklar, bağlantılar işçiliği (Boyama hariç)</v>
          </cell>
          <cell r="C586" t="str">
            <v>TN</v>
          </cell>
          <cell r="E586">
            <v>328073125</v>
          </cell>
          <cell r="F586">
            <v>445818750</v>
          </cell>
          <cell r="G586">
            <v>699393750</v>
          </cell>
          <cell r="H586">
            <v>982818750</v>
          </cell>
        </row>
        <row r="587">
          <cell r="A587" t="str">
            <v>23.176/K</v>
          </cell>
          <cell r="B587" t="str">
            <v>Profilli demirden korkuluk işçiliği (Boyama hariç)</v>
          </cell>
          <cell r="C587" t="str">
            <v>TN</v>
          </cell>
          <cell r="E587">
            <v>557216875</v>
          </cell>
          <cell r="F587">
            <v>753918750</v>
          </cell>
          <cell r="G587">
            <v>1162156250</v>
          </cell>
          <cell r="H587">
            <v>1645093750</v>
          </cell>
        </row>
        <row r="588">
          <cell r="A588" t="str">
            <v>23.245/1</v>
          </cell>
          <cell r="B588" t="str">
            <v>0-10 m. uzunlukta kaya bulonu tesis edilmesi</v>
          </cell>
          <cell r="C588" t="str">
            <v>KG</v>
          </cell>
          <cell r="E588">
            <v>619326</v>
          </cell>
          <cell r="F588">
            <v>802792</v>
          </cell>
          <cell r="G588">
            <v>1361010</v>
          </cell>
          <cell r="H588">
            <v>1968127</v>
          </cell>
        </row>
        <row r="589">
          <cell r="A589" t="str">
            <v>23.245/2</v>
          </cell>
          <cell r="B589" t="str">
            <v>Hasır çelikten iksa yapılması</v>
          </cell>
          <cell r="C589" t="str">
            <v>KG</v>
          </cell>
          <cell r="E589">
            <v>427490</v>
          </cell>
          <cell r="F589">
            <v>566062</v>
          </cell>
          <cell r="G589">
            <v>947687</v>
          </cell>
          <cell r="H589">
            <v>1388750</v>
          </cell>
        </row>
        <row r="590">
          <cell r="A590" t="str">
            <v>23.250</v>
          </cell>
          <cell r="B590" t="str">
            <v>Yüksek vasıflı çelikten özel dökümlü köprü mesnedinin temini ve yerine konulması</v>
          </cell>
          <cell r="C590" t="str">
            <v>KG</v>
          </cell>
          <cell r="E590">
            <v>1394200</v>
          </cell>
          <cell r="F590">
            <v>1935625</v>
          </cell>
          <cell r="G590">
            <v>3217500</v>
          </cell>
          <cell r="H590">
            <v>4839375</v>
          </cell>
        </row>
        <row r="591">
          <cell r="A591" t="str">
            <v>23.251</v>
          </cell>
          <cell r="B591" t="str">
            <v>Yüksek vasıflı çelikten özel dökümlü köprü mesnedinin yerine konulması (Mesnet idarece verilecektir)</v>
          </cell>
          <cell r="C591" t="str">
            <v>KG</v>
          </cell>
          <cell r="E591">
            <v>831700</v>
          </cell>
          <cell r="F591">
            <v>1123125</v>
          </cell>
          <cell r="G591">
            <v>1717500</v>
          </cell>
          <cell r="H591">
            <v>2439375</v>
          </cell>
        </row>
        <row r="592">
          <cell r="A592" t="str">
            <v>23.252</v>
          </cell>
          <cell r="B592" t="str">
            <v>Menfez-köprülerde bakır levha işleri</v>
          </cell>
          <cell r="C592" t="str">
            <v>KG</v>
          </cell>
          <cell r="E592">
            <v>2789380</v>
          </cell>
          <cell r="F592">
            <v>3947375</v>
          </cell>
          <cell r="G592">
            <v>6529500</v>
          </cell>
          <cell r="H592">
            <v>8402625</v>
          </cell>
        </row>
        <row r="593">
          <cell r="A593" t="str">
            <v>23.253</v>
          </cell>
          <cell r="B593" t="str">
            <v>Menfez-köprülerde galvanizli sac levha işleri</v>
          </cell>
          <cell r="C593" t="str">
            <v>KG</v>
          </cell>
          <cell r="E593">
            <v>1040360</v>
          </cell>
          <cell r="F593">
            <v>1398500</v>
          </cell>
          <cell r="G593">
            <v>2274000</v>
          </cell>
          <cell r="H593">
            <v>3201500</v>
          </cell>
        </row>
        <row r="594">
          <cell r="A594" t="str">
            <v>23.254</v>
          </cell>
          <cell r="B594" t="str">
            <v>Menfez-köprülerde kurşun levha işleri</v>
          </cell>
          <cell r="C594" t="str">
            <v>KG</v>
          </cell>
          <cell r="E594">
            <v>901780</v>
          </cell>
          <cell r="F594">
            <v>1195750</v>
          </cell>
          <cell r="G594">
            <v>1896250</v>
          </cell>
          <cell r="H594">
            <v>2580500</v>
          </cell>
        </row>
        <row r="595">
          <cell r="A595" t="str">
            <v>23.255</v>
          </cell>
          <cell r="B595" t="str">
            <v>Fonttan;ızgara, kapak, garguy yapılması</v>
          </cell>
          <cell r="C595" t="str">
            <v>KG</v>
          </cell>
          <cell r="E595">
            <v>407140</v>
          </cell>
          <cell r="F595">
            <v>551000</v>
          </cell>
          <cell r="G595">
            <v>866875</v>
          </cell>
          <cell r="H595">
            <v>1168375</v>
          </cell>
        </row>
        <row r="596">
          <cell r="A596" t="str">
            <v>2300</v>
          </cell>
          <cell r="B596" t="str">
            <v>Her cins ve klastaki zeminin röprizi ve kullanılması (15.040/K, 15.041/K Poz No.lu birim fiyatlara göre bulunacak bedeller toplamının toplam hacme bölünmesi ile bulunur.) (Cebrik ortalama)</v>
          </cell>
          <cell r="C596" t="str">
            <v>M3</v>
          </cell>
          <cell r="E596">
            <v>0</v>
          </cell>
          <cell r="F596">
            <v>0</v>
          </cell>
          <cell r="G596">
            <v>0</v>
          </cell>
        </row>
        <row r="597">
          <cell r="A597" t="str">
            <v>2400</v>
          </cell>
          <cell r="B597" t="str">
            <v>Heyelan eden her cins ve klastaki zeminin kazılması ve kullanılması (15.042/K, 15.043/K Poz No.lu birim fiyatlara göre bulunacak bedeller toplamının toplam hacme bölünmesi ile bulunur.) (Cebrik ortalama)</v>
          </cell>
          <cell r="C597" t="str">
            <v>M3</v>
          </cell>
          <cell r="E597">
            <v>0</v>
          </cell>
          <cell r="F597">
            <v>0</v>
          </cell>
          <cell r="G597">
            <v>0</v>
          </cell>
        </row>
        <row r="598">
          <cell r="A598" t="str">
            <v>25.016</v>
          </cell>
          <cell r="B598" t="str">
            <v>Demir imalatın boyanması</v>
          </cell>
          <cell r="C598" t="str">
            <v>M2</v>
          </cell>
          <cell r="D598">
            <v>23991</v>
          </cell>
          <cell r="E598">
            <v>2754977</v>
          </cell>
          <cell r="F598">
            <v>3580650</v>
          </cell>
          <cell r="G598">
            <v>5942275</v>
          </cell>
          <cell r="H598">
            <v>8129850</v>
          </cell>
        </row>
        <row r="599">
          <cell r="A599" t="str">
            <v>25.051</v>
          </cell>
          <cell r="B599" t="str">
            <v>Çimento badana</v>
          </cell>
          <cell r="C599" t="str">
            <v>M2</v>
          </cell>
          <cell r="E599">
            <v>168313</v>
          </cell>
          <cell r="F599">
            <v>227291</v>
          </cell>
          <cell r="G599">
            <v>347576</v>
          </cell>
          <cell r="H599">
            <v>493665</v>
          </cell>
        </row>
        <row r="600">
          <cell r="A600" t="str">
            <v>25.052</v>
          </cell>
          <cell r="B600" t="str">
            <v>Katran badana</v>
          </cell>
          <cell r="C600" t="str">
            <v>M2</v>
          </cell>
          <cell r="E600">
            <v>361920</v>
          </cell>
          <cell r="F600">
            <v>492750</v>
          </cell>
          <cell r="G600">
            <v>758750</v>
          </cell>
          <cell r="H600">
            <v>1097000</v>
          </cell>
        </row>
        <row r="601">
          <cell r="A601" t="str">
            <v>2500</v>
          </cell>
          <cell r="B601" t="str">
            <v>Her cins ve klastaki zeminde reglaj</v>
          </cell>
          <cell r="C601" t="str">
            <v>KM</v>
          </cell>
          <cell r="E601">
            <v>0</v>
          </cell>
          <cell r="F601">
            <v>0</v>
          </cell>
          <cell r="G601">
            <v>0</v>
          </cell>
        </row>
        <row r="602">
          <cell r="A602" t="str">
            <v>2540</v>
          </cell>
          <cell r="B602" t="str">
            <v>Şevlerde bitkisel toprak tabakası teşkili (Ocak veya depo malzemesinden)</v>
          </cell>
          <cell r="C602" t="str">
            <v>M3</v>
          </cell>
          <cell r="E602">
            <v>2869390</v>
          </cell>
          <cell r="F602">
            <v>3852587</v>
          </cell>
          <cell r="G602">
            <v>5941668</v>
          </cell>
          <cell r="H602">
            <v>8376831</v>
          </cell>
        </row>
        <row r="603">
          <cell r="A603" t="str">
            <v>2540/K-1</v>
          </cell>
          <cell r="B603" t="str">
            <v>Bordürle çevrilmiş refüjlerde ve düz sahalarda işbaşına getirilmiş 1 m3 toprağın serilmesi ve düzeltilmesi.</v>
          </cell>
          <cell r="C603" t="str">
            <v>M3</v>
          </cell>
          <cell r="G603">
            <v>543500</v>
          </cell>
        </row>
        <row r="604">
          <cell r="A604" t="str">
            <v>2541</v>
          </cell>
          <cell r="B604" t="str">
            <v>Şevlerde bitkisel toprak tabakası teşkili (Mevcut bitkisel toprak kazısından)</v>
          </cell>
          <cell r="C604" t="str">
            <v>M3</v>
          </cell>
          <cell r="E604">
            <v>2632000</v>
          </cell>
          <cell r="F604">
            <v>3555000</v>
          </cell>
          <cell r="G604">
            <v>5435000</v>
          </cell>
          <cell r="H604">
            <v>7720000</v>
          </cell>
        </row>
        <row r="605">
          <cell r="A605" t="str">
            <v>26.021/K</v>
          </cell>
          <cell r="B605" t="str">
            <v>Yivli karo siman kaplama (Tesviye betonsuz)</v>
          </cell>
          <cell r="C605" t="str">
            <v>M2</v>
          </cell>
          <cell r="E605">
            <v>3430613</v>
          </cell>
          <cell r="F605">
            <v>4411757</v>
          </cell>
          <cell r="G605">
            <v>6958072</v>
          </cell>
          <cell r="H605">
            <v>9678202</v>
          </cell>
        </row>
        <row r="606">
          <cell r="A606" t="str">
            <v>26.021/K-1</v>
          </cell>
          <cell r="B606" t="str">
            <v>Yivli karo siman kaplama (Tesviye betonlu)</v>
          </cell>
          <cell r="C606" t="str">
            <v>M2</v>
          </cell>
          <cell r="E606">
            <v>4012748</v>
          </cell>
          <cell r="F606">
            <v>5198021</v>
          </cell>
          <cell r="G606">
            <v>8159618</v>
          </cell>
          <cell r="H606">
            <v>11384886</v>
          </cell>
        </row>
        <row r="607">
          <cell r="A607" t="str">
            <v>26.030/K</v>
          </cell>
          <cell r="B607" t="str">
            <v>Renkli ve yivli karo siman kaplama (Tesviye betonsuz)</v>
          </cell>
          <cell r="C607" t="str">
            <v>M2</v>
          </cell>
          <cell r="E607">
            <v>3504113</v>
          </cell>
          <cell r="F607">
            <v>4499695</v>
          </cell>
          <cell r="G607">
            <v>7103760</v>
          </cell>
          <cell r="H607">
            <v>9875077</v>
          </cell>
        </row>
        <row r="608">
          <cell r="A608" t="str">
            <v>26.030/K-1</v>
          </cell>
          <cell r="B608" t="str">
            <v>Renkli ve yivli karo siman kaplama (Tesviye betonlu)</v>
          </cell>
          <cell r="C608" t="str">
            <v>M2</v>
          </cell>
          <cell r="E608">
            <v>4086248</v>
          </cell>
          <cell r="F608">
            <v>5285958</v>
          </cell>
          <cell r="G608">
            <v>8305306</v>
          </cell>
          <cell r="H608">
            <v>11581761</v>
          </cell>
        </row>
        <row r="609">
          <cell r="A609" t="str">
            <v>26.041/K</v>
          </cell>
          <cell r="B609" t="str">
            <v>Karo mozaik kaplama (Tesviye betonsuz)</v>
          </cell>
          <cell r="C609" t="str">
            <v>M2</v>
          </cell>
          <cell r="E609">
            <v>4585613</v>
          </cell>
          <cell r="F609">
            <v>5797757</v>
          </cell>
          <cell r="G609">
            <v>9245760</v>
          </cell>
          <cell r="H609">
            <v>12837390</v>
          </cell>
        </row>
        <row r="610">
          <cell r="A610" t="str">
            <v>26.041/K-1</v>
          </cell>
          <cell r="B610" t="str">
            <v>Karo mozaik kaplama (Tesviye betonlu)</v>
          </cell>
          <cell r="C610" t="str">
            <v>M2</v>
          </cell>
          <cell r="E610">
            <v>5167748</v>
          </cell>
          <cell r="F610">
            <v>6584021</v>
          </cell>
          <cell r="G610">
            <v>10447306</v>
          </cell>
          <cell r="H610">
            <v>14544073</v>
          </cell>
        </row>
        <row r="611">
          <cell r="A611" t="str">
            <v>2640</v>
          </cell>
          <cell r="B611" t="str">
            <v>Elenmemiş malzeme ile sanat yapıları ve köprü temel tabanına, beton yol ve tretuvar altlarına kum, çakıl tabakası serilmesi ve drenaj hendekleri ile her türlü büz yanlarında kum, çakıl dolgu yapılması</v>
          </cell>
          <cell r="C611" t="str">
            <v>M3</v>
          </cell>
          <cell r="E611">
            <v>1734855</v>
          </cell>
          <cell r="F611">
            <v>2334938</v>
          </cell>
          <cell r="G611">
            <v>3647385</v>
          </cell>
          <cell r="H611">
            <v>5154140</v>
          </cell>
        </row>
        <row r="612">
          <cell r="A612" t="str">
            <v>2641</v>
          </cell>
          <cell r="B612" t="str">
            <v>Elenmiş malzeme ile sanat yapıları ve köprü temel tabanına, beton yol ve tretuvar altlarına kum, çakıl tabakası serilmesi ve drenaj hendekleri ile her türlü büz yanlarında kum, çakıl dolgu yapılması</v>
          </cell>
          <cell r="C612" t="str">
            <v>M3</v>
          </cell>
          <cell r="E612">
            <v>2518413</v>
          </cell>
          <cell r="F612">
            <v>3374835</v>
          </cell>
          <cell r="G612">
            <v>5401428</v>
          </cell>
          <cell r="H612">
            <v>7612880</v>
          </cell>
        </row>
        <row r="613">
          <cell r="A613" t="str">
            <v>2641-1</v>
          </cell>
          <cell r="B613" t="str">
            <v>Ocak taşından konkasörde kırılmış ve elenmiş malzeme ile drenaj hendeklerine filitre dolgusu</v>
          </cell>
          <cell r="C613" t="str">
            <v>M3</v>
          </cell>
          <cell r="G613">
            <v>13047119</v>
          </cell>
          <cell r="H613">
            <v>18269574</v>
          </cell>
        </row>
        <row r="614">
          <cell r="A614" t="str">
            <v>2644</v>
          </cell>
          <cell r="B614" t="str">
            <v>İmla altına elenmemiş kum şilte malzemesi hazırlanması</v>
          </cell>
          <cell r="C614" t="str">
            <v>M3</v>
          </cell>
          <cell r="E614">
            <v>418855</v>
          </cell>
          <cell r="F614">
            <v>557438</v>
          </cell>
          <cell r="G614">
            <v>929885</v>
          </cell>
          <cell r="H614">
            <v>1294140</v>
          </cell>
        </row>
        <row r="615">
          <cell r="A615" t="str">
            <v>2645</v>
          </cell>
          <cell r="B615" t="str">
            <v>İmla altına elenmiş kum şilte malzemesi hazırlanması</v>
          </cell>
          <cell r="C615" t="str">
            <v>M3</v>
          </cell>
          <cell r="E615">
            <v>1202413</v>
          </cell>
          <cell r="F615">
            <v>1597335</v>
          </cell>
          <cell r="G615">
            <v>2683928</v>
          </cell>
          <cell r="H615">
            <v>3752880</v>
          </cell>
        </row>
        <row r="616">
          <cell r="A616" t="str">
            <v>2649</v>
          </cell>
          <cell r="B616" t="str">
            <v>Geçirimsiz  kil tabakası teşkili (El ile hazırlanmış kil ile)</v>
          </cell>
          <cell r="C616" t="str">
            <v>M3</v>
          </cell>
          <cell r="E616">
            <v>5658800</v>
          </cell>
          <cell r="F616">
            <v>7643250</v>
          </cell>
          <cell r="G616">
            <v>11685250</v>
          </cell>
          <cell r="H616">
            <v>16598000</v>
          </cell>
        </row>
        <row r="617">
          <cell r="A617" t="str">
            <v>2649/1</v>
          </cell>
          <cell r="B617" t="str">
            <v>Geçirimsiz kil tabakası teşkili (Makine ile hazırlanmış kil ile)</v>
          </cell>
          <cell r="C617" t="str">
            <v>M3</v>
          </cell>
          <cell r="E617">
            <v>1584910</v>
          </cell>
          <cell r="F617">
            <v>2130631</v>
          </cell>
          <cell r="G617">
            <v>3351672</v>
          </cell>
          <cell r="H617">
            <v>4728383</v>
          </cell>
        </row>
        <row r="618">
          <cell r="A618" t="str">
            <v>27.101/K</v>
          </cell>
          <cell r="B618" t="str">
            <v>Moloz ve çaplanmış moloz taş inşaat yüzlerine gömme oluklu derz yapılması</v>
          </cell>
          <cell r="C618" t="str">
            <v>M2</v>
          </cell>
          <cell r="E618">
            <v>689031</v>
          </cell>
          <cell r="F618">
            <v>930583</v>
          </cell>
          <cell r="G618">
            <v>1422941</v>
          </cell>
          <cell r="H618">
            <v>2021020</v>
          </cell>
        </row>
        <row r="619">
          <cell r="A619" t="str">
            <v>27.104/K</v>
          </cell>
          <cell r="B619" t="str">
            <v>Yonma ve kesme taş inşaat yüzlerine derz yapılması</v>
          </cell>
          <cell r="C619" t="str">
            <v>M2</v>
          </cell>
          <cell r="E619">
            <v>889910</v>
          </cell>
          <cell r="F619">
            <v>1201770</v>
          </cell>
          <cell r="G619">
            <v>1837817</v>
          </cell>
          <cell r="H619">
            <v>2610172</v>
          </cell>
        </row>
        <row r="620">
          <cell r="A620" t="str">
            <v>27.501/K</v>
          </cell>
          <cell r="B620" t="str">
            <v>2 cm. kalınlıkta beton yüzey sıvası</v>
          </cell>
          <cell r="C620" t="str">
            <v>M2</v>
          </cell>
          <cell r="E620">
            <v>1068573</v>
          </cell>
          <cell r="F620">
            <v>1443087</v>
          </cell>
          <cell r="G620">
            <v>2206751</v>
          </cell>
          <cell r="H620">
            <v>3134215</v>
          </cell>
        </row>
        <row r="621">
          <cell r="A621" t="str">
            <v>27.583/K</v>
          </cell>
          <cell r="B621" t="str">
            <v>2 cm. kalınlıkta şap yapılması</v>
          </cell>
          <cell r="C621" t="str">
            <v>M2</v>
          </cell>
          <cell r="E621">
            <v>1277923</v>
          </cell>
          <cell r="F621">
            <v>1701501</v>
          </cell>
          <cell r="G621">
            <v>2675013</v>
          </cell>
          <cell r="H621">
            <v>3734902</v>
          </cell>
        </row>
        <row r="622">
          <cell r="A622" t="str">
            <v>27.583/K-1</v>
          </cell>
          <cell r="B622" t="str">
            <v>3 cm. kalınlıkta şap yapılması</v>
          </cell>
          <cell r="C622" t="str">
            <v>M2</v>
          </cell>
          <cell r="E622">
            <v>1437226</v>
          </cell>
          <cell r="F622">
            <v>1904461</v>
          </cell>
          <cell r="G622">
            <v>3021987</v>
          </cell>
          <cell r="H622">
            <v>4195473</v>
          </cell>
        </row>
        <row r="623">
          <cell r="A623" t="str">
            <v>27.586/K</v>
          </cell>
          <cell r="B623" t="str">
            <v>4 cm. kalınlıkta şap yapılması</v>
          </cell>
          <cell r="C623" t="str">
            <v>M2</v>
          </cell>
          <cell r="E623">
            <v>1596528</v>
          </cell>
          <cell r="F623">
            <v>2107422</v>
          </cell>
          <cell r="G623">
            <v>3368960</v>
          </cell>
          <cell r="H623">
            <v>4656043</v>
          </cell>
        </row>
        <row r="624">
          <cell r="A624" t="str">
            <v>3085</v>
          </cell>
          <cell r="B624" t="str">
            <v>Ortalama kesiti 300 cm2 (300 cm2 dahil) ye kadar her boyda ahşap kazık çakılması</v>
          </cell>
          <cell r="C624" t="str">
            <v>MT</v>
          </cell>
          <cell r="E624">
            <v>316280</v>
          </cell>
          <cell r="F624">
            <v>411160</v>
          </cell>
          <cell r="G624">
            <v>698970</v>
          </cell>
          <cell r="H624">
            <v>1328040</v>
          </cell>
        </row>
        <row r="625">
          <cell r="A625" t="str">
            <v>3087</v>
          </cell>
          <cell r="B625" t="str">
            <v>Ortalama kesiti 300-900 cm2 (900 cm2 dahil)ye kadar her boyda ahşap kazık çakılması</v>
          </cell>
          <cell r="C625" t="str">
            <v>MT</v>
          </cell>
          <cell r="E625">
            <v>1773720</v>
          </cell>
          <cell r="F625">
            <v>2305840</v>
          </cell>
          <cell r="G625">
            <v>3919930</v>
          </cell>
          <cell r="H625">
            <v>7447870</v>
          </cell>
        </row>
        <row r="626">
          <cell r="A626" t="str">
            <v>3088</v>
          </cell>
          <cell r="B626" t="str">
            <v>Ortalama kesiti 900 cm2 den büyük her boyda ahşap kazık çakılması</v>
          </cell>
          <cell r="C626" t="str">
            <v>MT</v>
          </cell>
          <cell r="E626">
            <v>2260010</v>
          </cell>
          <cell r="F626">
            <v>2938010</v>
          </cell>
          <cell r="G626">
            <v>4994620</v>
          </cell>
          <cell r="H626">
            <v>9489780</v>
          </cell>
        </row>
        <row r="627">
          <cell r="A627" t="str">
            <v>3091</v>
          </cell>
          <cell r="B627" t="str">
            <v>Çelik kazık çakılması</v>
          </cell>
          <cell r="C627" t="str">
            <v>MT</v>
          </cell>
          <cell r="E627">
            <v>1773720</v>
          </cell>
          <cell r="F627">
            <v>2305840</v>
          </cell>
          <cell r="G627">
            <v>3919930</v>
          </cell>
          <cell r="H627">
            <v>7447870</v>
          </cell>
        </row>
        <row r="628">
          <cell r="A628" t="str">
            <v>3092</v>
          </cell>
          <cell r="B628" t="str">
            <v>Betonarme kazık çakılması (30 cm. x 30 cm.)</v>
          </cell>
          <cell r="C628" t="str">
            <v>MT</v>
          </cell>
          <cell r="E628">
            <v>4029730</v>
          </cell>
          <cell r="F628">
            <v>5238650</v>
          </cell>
          <cell r="G628">
            <v>8905710</v>
          </cell>
          <cell r="H628">
            <v>16920850</v>
          </cell>
        </row>
        <row r="629">
          <cell r="A629" t="str">
            <v>3093</v>
          </cell>
          <cell r="B629" t="str">
            <v>Betonarme kazık çakılması (35 cm. x 35 cm.)</v>
          </cell>
          <cell r="C629" t="str">
            <v>MT</v>
          </cell>
          <cell r="E629">
            <v>4514170</v>
          </cell>
          <cell r="F629">
            <v>5868420</v>
          </cell>
          <cell r="G629">
            <v>9976310</v>
          </cell>
          <cell r="H629">
            <v>18954990</v>
          </cell>
        </row>
        <row r="630">
          <cell r="A630" t="str">
            <v>3094</v>
          </cell>
          <cell r="B630" t="str">
            <v>Betonarme kazık çakılması (40 cm. x 40 cm.)</v>
          </cell>
          <cell r="C630" t="str">
            <v>MT</v>
          </cell>
          <cell r="E630">
            <v>5076860</v>
          </cell>
          <cell r="F630">
            <v>6599920</v>
          </cell>
          <cell r="G630">
            <v>11219860</v>
          </cell>
          <cell r="H630">
            <v>21317730</v>
          </cell>
        </row>
        <row r="631">
          <cell r="A631" t="str">
            <v>3095</v>
          </cell>
          <cell r="B631" t="str">
            <v>Betonarme kazık çakılması (45 cm. x 45 cm.)</v>
          </cell>
          <cell r="C631" t="str">
            <v>MT</v>
          </cell>
          <cell r="E631">
            <v>5582300</v>
          </cell>
          <cell r="F631">
            <v>7256990</v>
          </cell>
          <cell r="G631">
            <v>12336880</v>
          </cell>
          <cell r="H631">
            <v>23440070</v>
          </cell>
        </row>
        <row r="632">
          <cell r="A632" t="str">
            <v>3096</v>
          </cell>
          <cell r="B632" t="str">
            <v>10 m.den uzun betonarme kazık çakılması (30 cm. x 30 cm.)</v>
          </cell>
          <cell r="C632" t="str">
            <v>MT</v>
          </cell>
          <cell r="E632">
            <v>4029730</v>
          </cell>
          <cell r="F632">
            <v>5238650</v>
          </cell>
          <cell r="G632">
            <v>8905710</v>
          </cell>
          <cell r="H632">
            <v>16920850</v>
          </cell>
        </row>
        <row r="633">
          <cell r="A633" t="str">
            <v>3097</v>
          </cell>
          <cell r="B633" t="str">
            <v>10 m.den uzun betonarme kazık çakılması (35 cm. x 35 cm.)</v>
          </cell>
          <cell r="C633" t="str">
            <v>MT</v>
          </cell>
          <cell r="E633">
            <v>4514170</v>
          </cell>
          <cell r="F633">
            <v>5868420</v>
          </cell>
          <cell r="G633">
            <v>9976310</v>
          </cell>
          <cell r="H633">
            <v>18954990</v>
          </cell>
        </row>
        <row r="634">
          <cell r="A634" t="str">
            <v>3098</v>
          </cell>
          <cell r="B634" t="str">
            <v>10 m.den uzun betonarme kazık çakılması (40 cm. x 40 cm.)</v>
          </cell>
          <cell r="C634" t="str">
            <v>MT</v>
          </cell>
          <cell r="E634">
            <v>5076860</v>
          </cell>
          <cell r="F634">
            <v>6599920</v>
          </cell>
          <cell r="G634">
            <v>11219860</v>
          </cell>
          <cell r="H634">
            <v>21317730</v>
          </cell>
        </row>
        <row r="635">
          <cell r="A635" t="str">
            <v>3099</v>
          </cell>
          <cell r="B635" t="str">
            <v>10 m.den uzun betonarme kazık çakılması (45 cm. x 45 cm.)</v>
          </cell>
          <cell r="C635" t="str">
            <v>MT</v>
          </cell>
          <cell r="E635">
            <v>5582300</v>
          </cell>
          <cell r="F635">
            <v>7256990</v>
          </cell>
          <cell r="G635">
            <v>12336880</v>
          </cell>
          <cell r="H635">
            <v>23440070</v>
          </cell>
        </row>
        <row r="636">
          <cell r="A636" t="str">
            <v>32.001/K</v>
          </cell>
          <cell r="B636" t="str">
            <v>Her cins ve klastaki zeminde tünel kazısı</v>
          </cell>
          <cell r="C636" t="str">
            <v>M3</v>
          </cell>
          <cell r="E636">
            <v>18906356</v>
          </cell>
          <cell r="F636">
            <v>25205141</v>
          </cell>
          <cell r="G636">
            <v>40352053</v>
          </cell>
          <cell r="H636">
            <v>56249500</v>
          </cell>
        </row>
        <row r="637">
          <cell r="A637" t="str">
            <v>32.001/K-1</v>
          </cell>
          <cell r="B637" t="str">
            <v>Her cins ve klastaki zeminde tünel kazısı (Shotcrete, bulonlama, hasır çelik ve çelik profil iksa vs. gibi iksa bedellerinin ayrıca ödendiği tünel kesimlerinin kazısı için)</v>
          </cell>
          <cell r="C637" t="str">
            <v>M3</v>
          </cell>
          <cell r="E637">
            <v>16343766</v>
          </cell>
          <cell r="F637">
            <v>21991785</v>
          </cell>
          <cell r="G637">
            <v>34807053</v>
          </cell>
          <cell r="H637">
            <v>48992750</v>
          </cell>
        </row>
        <row r="638">
          <cell r="A638" t="str">
            <v>32.002/K</v>
          </cell>
          <cell r="B638" t="str">
            <v>Her cins ve klastaki zeminde kesiti 6 m2 den az olan drenaj, kaptaj ve benzeri galeri kazısı</v>
          </cell>
          <cell r="C638" t="str">
            <v>M3</v>
          </cell>
          <cell r="E638">
            <v>28277613</v>
          </cell>
          <cell r="F638">
            <v>37707108</v>
          </cell>
          <cell r="G638">
            <v>60362085</v>
          </cell>
          <cell r="H638">
            <v>84165856</v>
          </cell>
        </row>
        <row r="639">
          <cell r="A639" t="str">
            <v>32.003</v>
          </cell>
          <cell r="B639" t="str">
            <v>Tünelde vantilasyon zammı (Tetler hariç, uzunluğu 300 m.yi geçen tünel inşaatı için)</v>
          </cell>
          <cell r="C639" t="str">
            <v>M3</v>
          </cell>
          <cell r="E639">
            <v>1515083</v>
          </cell>
          <cell r="F639">
            <v>2006761</v>
          </cell>
          <cell r="G639">
            <v>3441930</v>
          </cell>
          <cell r="H639">
            <v>4746722</v>
          </cell>
        </row>
        <row r="640">
          <cell r="A640" t="str">
            <v>32.004/K</v>
          </cell>
          <cell r="B640" t="str">
            <v>Tünel kazısı su zammı</v>
          </cell>
          <cell r="C640" t="str">
            <v>M3</v>
          </cell>
          <cell r="E640">
            <v>378126</v>
          </cell>
          <cell r="F640">
            <v>504102</v>
          </cell>
          <cell r="G640">
            <v>807040</v>
          </cell>
          <cell r="H640">
            <v>1124990</v>
          </cell>
        </row>
        <row r="641">
          <cell r="A641" t="str">
            <v>32.005/K</v>
          </cell>
          <cell r="B641" t="str">
            <v>Galeri kazısı su zammı</v>
          </cell>
          <cell r="C641" t="str">
            <v>M3</v>
          </cell>
          <cell r="E641">
            <v>2827761</v>
          </cell>
          <cell r="F641">
            <v>3770710</v>
          </cell>
          <cell r="G641">
            <v>6036207</v>
          </cell>
          <cell r="H641">
            <v>8416585</v>
          </cell>
        </row>
        <row r="642">
          <cell r="A642" t="str">
            <v>32.006/K</v>
          </cell>
          <cell r="B642" t="str">
            <v>Tünele ait inşaat malzemesinin yüklenmesi ve boşaltılması</v>
          </cell>
          <cell r="C642" t="str">
            <v>M3</v>
          </cell>
          <cell r="E642">
            <v>2134800</v>
          </cell>
          <cell r="F642">
            <v>2883750</v>
          </cell>
          <cell r="G642">
            <v>4410000</v>
          </cell>
          <cell r="H642">
            <v>6262500</v>
          </cell>
        </row>
        <row r="643">
          <cell r="A643" t="str">
            <v>3262</v>
          </cell>
          <cell r="B643" t="str">
            <v>Ocak taşı ile kuru dren</v>
          </cell>
          <cell r="C643" t="str">
            <v>M3</v>
          </cell>
          <cell r="E643">
            <v>8814725</v>
          </cell>
          <cell r="F643">
            <v>11878366</v>
          </cell>
          <cell r="G643">
            <v>18520717</v>
          </cell>
          <cell r="H643">
            <v>26181231</v>
          </cell>
        </row>
        <row r="644">
          <cell r="A644" t="str">
            <v>3263</v>
          </cell>
          <cell r="B644" t="str">
            <v>Kazı taşı ile kuru dren</v>
          </cell>
          <cell r="C644" t="str">
            <v>M3</v>
          </cell>
          <cell r="E644">
            <v>7174778</v>
          </cell>
          <cell r="F644">
            <v>9707926</v>
          </cell>
          <cell r="G644">
            <v>14804288</v>
          </cell>
          <cell r="H644">
            <v>21072358</v>
          </cell>
        </row>
        <row r="645">
          <cell r="A645" t="str">
            <v>3360</v>
          </cell>
          <cell r="B645" t="str">
            <v>Ocak taşı ile yaya kaldırım bordürü</v>
          </cell>
          <cell r="C645" t="str">
            <v>MT</v>
          </cell>
          <cell r="E645">
            <v>4619896</v>
          </cell>
          <cell r="F645">
            <v>6233502</v>
          </cell>
          <cell r="G645">
            <v>9593210</v>
          </cell>
          <cell r="H645">
            <v>13604157</v>
          </cell>
        </row>
        <row r="646">
          <cell r="A646" t="str">
            <v>3362</v>
          </cell>
          <cell r="B646" t="str">
            <v>Beton yaya kaldırım bordürü</v>
          </cell>
          <cell r="C646" t="str">
            <v>MT</v>
          </cell>
          <cell r="E646">
            <v>2881822</v>
          </cell>
          <cell r="F646">
            <v>3790062</v>
          </cell>
          <cell r="G646">
            <v>6102882</v>
          </cell>
          <cell r="H646">
            <v>8405762</v>
          </cell>
        </row>
        <row r="647">
          <cell r="A647" t="str">
            <v>3363</v>
          </cell>
          <cell r="B647" t="str">
            <v>Ocak taşı ile refüj bordürü</v>
          </cell>
          <cell r="C647" t="str">
            <v>MT</v>
          </cell>
          <cell r="E647">
            <v>5827061</v>
          </cell>
          <cell r="F647">
            <v>7862005</v>
          </cell>
          <cell r="G647">
            <v>12102855</v>
          </cell>
          <cell r="H647">
            <v>17161925</v>
          </cell>
        </row>
        <row r="648">
          <cell r="A648" t="str">
            <v>3365</v>
          </cell>
          <cell r="B648" t="str">
            <v>Beton refüj bordürü</v>
          </cell>
          <cell r="C648" t="str">
            <v>MT</v>
          </cell>
          <cell r="E648">
            <v>3035066</v>
          </cell>
          <cell r="F648">
            <v>4015498</v>
          </cell>
          <cell r="G648">
            <v>6396028</v>
          </cell>
          <cell r="H648">
            <v>8869651</v>
          </cell>
        </row>
        <row r="649">
          <cell r="A649" t="str">
            <v>3368</v>
          </cell>
          <cell r="B649" t="str">
            <v>Beton ayırma taşı</v>
          </cell>
          <cell r="C649" t="str">
            <v>MT</v>
          </cell>
          <cell r="E649">
            <v>900791</v>
          </cell>
          <cell r="F649">
            <v>1165953</v>
          </cell>
          <cell r="G649">
            <v>1933260</v>
          </cell>
          <cell r="H649">
            <v>2615615</v>
          </cell>
        </row>
        <row r="650">
          <cell r="A650" t="str">
            <v>34.001</v>
          </cell>
          <cell r="B650" t="str">
            <v>Ocak taşından 0-0,005 ton kategorideki taşlar ile tahkimatın yapımı (Dalgakıran ve deniz tahkimatı gibi inşaatta)</v>
          </cell>
          <cell r="C650" t="str">
            <v>TN</v>
          </cell>
          <cell r="E650">
            <v>613288</v>
          </cell>
          <cell r="F650">
            <v>813593</v>
          </cell>
          <cell r="G650">
            <v>1424703</v>
          </cell>
          <cell r="H650">
            <v>1965825</v>
          </cell>
        </row>
        <row r="651">
          <cell r="A651" t="str">
            <v>34.001/1-K</v>
          </cell>
          <cell r="B651" t="str">
            <v>Kazı taşından 0-0,005 ton kategorideki taşlar ile tahkimatın yapımı (Dalgakıran ve deniz tahkimatı gibi inşaatta)</v>
          </cell>
          <cell r="C651" t="str">
            <v>TN</v>
          </cell>
          <cell r="E651">
            <v>165210</v>
          </cell>
          <cell r="F651">
            <v>220675</v>
          </cell>
          <cell r="G651">
            <v>419772</v>
          </cell>
          <cell r="H651">
            <v>589787</v>
          </cell>
        </row>
        <row r="652">
          <cell r="A652" t="str">
            <v>34.003</v>
          </cell>
          <cell r="B652" t="str">
            <v>Ocak taşından 0,005-0,100 ton kategorideki taşlar ile tahkimatın yapımı (Dalgakıran ve deniz tahkimatı gibi inşaatta)</v>
          </cell>
          <cell r="C652" t="str">
            <v>TN</v>
          </cell>
          <cell r="E652">
            <v>1123918</v>
          </cell>
          <cell r="F652">
            <v>1488455</v>
          </cell>
          <cell r="G652">
            <v>2594602</v>
          </cell>
          <cell r="H652">
            <v>3582580</v>
          </cell>
        </row>
        <row r="653">
          <cell r="A653" t="str">
            <v>34.003/1-K</v>
          </cell>
          <cell r="B653" t="str">
            <v>Kazı taşından 0,005-0,100 ton kategorideki taşlar ile tahkimatın yapımı (Dalgakıran ve deniz tahkimatı gibi inşaatta)</v>
          </cell>
          <cell r="C653" t="str">
            <v>TN</v>
          </cell>
          <cell r="E653">
            <v>432327</v>
          </cell>
          <cell r="F653">
            <v>569787</v>
          </cell>
          <cell r="G653">
            <v>1061372</v>
          </cell>
          <cell r="H653">
            <v>1469595</v>
          </cell>
        </row>
        <row r="654">
          <cell r="A654" t="str">
            <v>34.004/1-K</v>
          </cell>
          <cell r="B654" t="str">
            <v>Kazı taşından 0-0,250 ton kategorideki taşlar ile tahkimatın yapımı (Dalgakıran ve deniz tahkimatı gibi inşaatta)</v>
          </cell>
          <cell r="C654" t="str">
            <v>TN</v>
          </cell>
          <cell r="E654">
            <v>486966</v>
          </cell>
          <cell r="F654">
            <v>641192</v>
          </cell>
          <cell r="G654">
            <v>1192641</v>
          </cell>
          <cell r="H654">
            <v>1649592</v>
          </cell>
        </row>
        <row r="655">
          <cell r="A655" t="str">
            <v>34.004/K</v>
          </cell>
          <cell r="B655" t="str">
            <v>Ocak taşından 0-0,250 ton kategorideki taşlar ile tahkimatın yapımı (Dalgakıran ve deniz tahkimatı gibi inşaatta)</v>
          </cell>
          <cell r="C655" t="str">
            <v>TN</v>
          </cell>
          <cell r="E655">
            <v>1224142</v>
          </cell>
          <cell r="F655">
            <v>1620937</v>
          </cell>
          <cell r="G655">
            <v>2824030</v>
          </cell>
          <cell r="H655">
            <v>3899683</v>
          </cell>
        </row>
        <row r="656">
          <cell r="A656" t="str">
            <v>34.005</v>
          </cell>
          <cell r="B656" t="str">
            <v>Ocak taşından 0,100-0,250 ton kategorideki taşlar ile tahkimatın yapımı (Dalgakıran ve deniz tahkimatı gibi inşaatta)</v>
          </cell>
          <cell r="C656" t="str">
            <v>TN</v>
          </cell>
          <cell r="E656">
            <v>1257591</v>
          </cell>
          <cell r="F656">
            <v>1665095</v>
          </cell>
          <cell r="G656">
            <v>2901031</v>
          </cell>
          <cell r="H656">
            <v>4006010</v>
          </cell>
        </row>
        <row r="657">
          <cell r="A657" t="str">
            <v>34.005/1-K</v>
          </cell>
          <cell r="B657" t="str">
            <v>Kazı taşından 0,100-0,250 ton kategorideki taşlar ile tahkimatın yapımı (Dalgakıran ve deniz tahkimatı gibi inşaatta)</v>
          </cell>
          <cell r="C657" t="str">
            <v>TN</v>
          </cell>
          <cell r="E657">
            <v>530446</v>
          </cell>
          <cell r="F657">
            <v>698015</v>
          </cell>
          <cell r="G657">
            <v>1297121</v>
          </cell>
          <cell r="H657">
            <v>1792851</v>
          </cell>
        </row>
        <row r="658">
          <cell r="A658" t="str">
            <v>34.006/1-K</v>
          </cell>
          <cell r="B658" t="str">
            <v>Kazı taşından 0-0,400 ton kategorideki taşlar ile tahkimatın yapımı (Dalgakıran ve deniz tahkimatı gibi inşaatta)</v>
          </cell>
          <cell r="C658" t="str">
            <v>TN</v>
          </cell>
          <cell r="E658">
            <v>559981</v>
          </cell>
          <cell r="F658">
            <v>736608</v>
          </cell>
          <cell r="G658">
            <v>1368115</v>
          </cell>
          <cell r="H658">
            <v>1890191</v>
          </cell>
        </row>
        <row r="659">
          <cell r="A659" t="str">
            <v>34.006/K</v>
          </cell>
          <cell r="B659" t="str">
            <v>Ocak taşından 0-0,400 ton kategorideki taşlar ile tahkimatın yapımı (Dalgakıran ve deniz tahkimatı gibi inşaatta)</v>
          </cell>
          <cell r="C659" t="str">
            <v>TN</v>
          </cell>
          <cell r="E659">
            <v>1285085</v>
          </cell>
          <cell r="F659">
            <v>1701320</v>
          </cell>
          <cell r="G659">
            <v>2964868</v>
          </cell>
          <cell r="H659">
            <v>4094032</v>
          </cell>
        </row>
        <row r="660">
          <cell r="A660" t="str">
            <v>34.007</v>
          </cell>
          <cell r="B660" t="str">
            <v>Ocak taşından 0,250-0,400 ton kategorideki taşlar ile tahkimatın yapımı (Dalgakıran ve deniz tahkimatı gibi inşaatta)</v>
          </cell>
          <cell r="C660" t="str">
            <v>TN</v>
          </cell>
          <cell r="E660">
            <v>1403478</v>
          </cell>
          <cell r="F660">
            <v>1856347</v>
          </cell>
          <cell r="G660">
            <v>3247038</v>
          </cell>
          <cell r="H660">
            <v>4481448</v>
          </cell>
        </row>
        <row r="661">
          <cell r="A661" t="str">
            <v>34.007/1-K</v>
          </cell>
          <cell r="B661" t="str">
            <v>Kazı taşından 0,250-0,400 ton kategorideki taşlar ile tahkimatın yapımı (Dalgakıran ve deniz tahkimatı gibi inşaatta)</v>
          </cell>
          <cell r="C661" t="str">
            <v>TN</v>
          </cell>
          <cell r="E661">
            <v>678772</v>
          </cell>
          <cell r="F661">
            <v>891868</v>
          </cell>
          <cell r="G661">
            <v>1653417</v>
          </cell>
          <cell r="H661">
            <v>2281425</v>
          </cell>
        </row>
        <row r="662">
          <cell r="A662" t="str">
            <v>34.008/1-K</v>
          </cell>
          <cell r="B662" t="str">
            <v>Kazı taşından 0,400-2 ton kategorideki taşlar ile tahkimatın yapımı (Dalgakıran ve deniz tahkimatı gibi inşaatta)</v>
          </cell>
          <cell r="C662" t="str">
            <v>TN</v>
          </cell>
          <cell r="E662">
            <v>692090</v>
          </cell>
          <cell r="F662">
            <v>909067</v>
          </cell>
          <cell r="G662">
            <v>1687001</v>
          </cell>
          <cell r="H662">
            <v>2327072</v>
          </cell>
        </row>
        <row r="663">
          <cell r="A663" t="str">
            <v>34.008/K</v>
          </cell>
          <cell r="B663" t="str">
            <v>Ocak taşından 0,400-2 ton kategorideki taşlar ile tahkimatın yapımı (Dalgakıran ve deniz tahkimatı gibi inşaatta)</v>
          </cell>
          <cell r="C663" t="str">
            <v>TN</v>
          </cell>
          <cell r="E663">
            <v>1391173</v>
          </cell>
          <cell r="F663">
            <v>1840515</v>
          </cell>
          <cell r="G663">
            <v>3215635</v>
          </cell>
          <cell r="H663">
            <v>4438742</v>
          </cell>
        </row>
        <row r="664">
          <cell r="A664" t="str">
            <v>34.009/1-K</v>
          </cell>
          <cell r="B664" t="str">
            <v>Kazı taşından 2-6 ton kategorideki taşlar ile tahkimatın yapımı (Dalgakıran ve deniz tahkimatı gibi inşaatta)</v>
          </cell>
          <cell r="C664" t="str">
            <v>TN</v>
          </cell>
          <cell r="E664">
            <v>911470</v>
          </cell>
          <cell r="F664">
            <v>1195715</v>
          </cell>
          <cell r="G664">
            <v>2214515</v>
          </cell>
          <cell r="H664">
            <v>3050288</v>
          </cell>
        </row>
        <row r="665">
          <cell r="A665" t="str">
            <v>34.009/K</v>
          </cell>
          <cell r="B665" t="str">
            <v>Ocak taşından 2-6 ton kategorideki taşlar ile tahkimatın yapımı (Dalgakıran ve deniz tahkimatı gibi inşaatta)</v>
          </cell>
          <cell r="C665" t="str">
            <v>TN</v>
          </cell>
          <cell r="E665">
            <v>1722238</v>
          </cell>
          <cell r="F665">
            <v>2276090</v>
          </cell>
          <cell r="G665">
            <v>3989042</v>
          </cell>
          <cell r="H665">
            <v>5504081</v>
          </cell>
        </row>
        <row r="666">
          <cell r="A666" t="str">
            <v>34.010/1-K</v>
          </cell>
          <cell r="B666" t="str">
            <v>Kazı taşından 6-15 ton kategorideki taşlar ile tahkimatın yapımı (Dalgakıran ve deniz tahkimatı gibi inşaatta)</v>
          </cell>
          <cell r="C666" t="str">
            <v>TN</v>
          </cell>
          <cell r="E666">
            <v>1283618</v>
          </cell>
          <cell r="F666">
            <v>1681940</v>
          </cell>
          <cell r="G666">
            <v>3109613</v>
          </cell>
          <cell r="H666">
            <v>4277401</v>
          </cell>
        </row>
        <row r="667">
          <cell r="A667" t="str">
            <v>34.010/K</v>
          </cell>
          <cell r="B667" t="str">
            <v>Ocak taşından 6-15 ton kategorideki taşlar ile tahkimatın yapımı (Dalgakıran ve deniz tahkimatı gibi inşaatta)</v>
          </cell>
          <cell r="C667" t="str">
            <v>TN</v>
          </cell>
          <cell r="E667">
            <v>2281191</v>
          </cell>
          <cell r="F667">
            <v>3010912</v>
          </cell>
          <cell r="G667">
            <v>5299190</v>
          </cell>
          <cell r="H667">
            <v>7307758</v>
          </cell>
        </row>
        <row r="668">
          <cell r="A668" t="str">
            <v>34.011/1-K</v>
          </cell>
          <cell r="B668" t="str">
            <v>Kazı taşından 15 tondan yukarı kategorideki taşlar ile tahkimatın yapımı (Dalgakıran ve deniz tahkimatı gibi inşaatta)</v>
          </cell>
          <cell r="C668" t="str">
            <v>TN</v>
          </cell>
          <cell r="E668">
            <v>1789827</v>
          </cell>
          <cell r="F668">
            <v>2343302</v>
          </cell>
          <cell r="G668">
            <v>4327288</v>
          </cell>
          <cell r="H668">
            <v>5946707</v>
          </cell>
        </row>
        <row r="669">
          <cell r="A669" t="str">
            <v>34.011/K</v>
          </cell>
          <cell r="B669" t="str">
            <v>Ocak taşından 15 tondan yukarı kategorideki taşlar ile tahkimatın yapımı(Dalgakıran ve deniz tahkimatı gibi inşaatta)</v>
          </cell>
          <cell r="C669" t="str">
            <v>TN</v>
          </cell>
          <cell r="E669">
            <v>2866496</v>
          </cell>
          <cell r="F669">
            <v>3779395</v>
          </cell>
          <cell r="G669">
            <v>6678546</v>
          </cell>
          <cell r="H669">
            <v>9205028</v>
          </cell>
        </row>
        <row r="670">
          <cell r="A670" t="str">
            <v>34.012/1-K</v>
          </cell>
          <cell r="B670" t="str">
            <v>Ocak artığının ocakta depo edilmesi</v>
          </cell>
          <cell r="C670" t="str">
            <v>M3</v>
          </cell>
          <cell r="E670">
            <v>516845</v>
          </cell>
          <cell r="F670">
            <v>675463</v>
          </cell>
          <cell r="G670">
            <v>1241690</v>
          </cell>
          <cell r="H670">
            <v>1702627</v>
          </cell>
        </row>
        <row r="671">
          <cell r="A671" t="str">
            <v>34.012/K</v>
          </cell>
          <cell r="B671" t="str">
            <v>Ocak artığı ile dolgu</v>
          </cell>
          <cell r="C671" t="str">
            <v>M3</v>
          </cell>
          <cell r="E671">
            <v>596608</v>
          </cell>
          <cell r="F671">
            <v>779535</v>
          </cell>
          <cell r="G671">
            <v>1434655</v>
          </cell>
          <cell r="H671">
            <v>1966885</v>
          </cell>
        </row>
        <row r="672">
          <cell r="A672" t="str">
            <v>34.113/K</v>
          </cell>
          <cell r="B672" t="str">
            <v>Ocakta kalan kategori fazlası taş</v>
          </cell>
          <cell r="C672" t="str">
            <v>M3</v>
          </cell>
          <cell r="E672">
            <v>870033</v>
          </cell>
          <cell r="F672">
            <v>1152763</v>
          </cell>
          <cell r="G672">
            <v>2002102</v>
          </cell>
          <cell r="H672">
            <v>2765856</v>
          </cell>
        </row>
        <row r="673">
          <cell r="A673" t="str">
            <v>3400</v>
          </cell>
          <cell r="B673" t="str">
            <v>Ocak taşından istifsiz köprü ve menfez tahkimatı</v>
          </cell>
          <cell r="C673" t="str">
            <v>M3</v>
          </cell>
          <cell r="E673">
            <v>7785891</v>
          </cell>
          <cell r="F673">
            <v>10491128</v>
          </cell>
          <cell r="G673">
            <v>16366192</v>
          </cell>
          <cell r="H673">
            <v>23133363</v>
          </cell>
        </row>
        <row r="674">
          <cell r="A674" t="str">
            <v>3405</v>
          </cell>
          <cell r="B674" t="str">
            <v>Kazı taşından istifsiz köprü ve menfez tahkimatı</v>
          </cell>
          <cell r="C674" t="str">
            <v>M3</v>
          </cell>
          <cell r="E674">
            <v>6295031</v>
          </cell>
          <cell r="F674">
            <v>8518001</v>
          </cell>
          <cell r="G674">
            <v>12987621</v>
          </cell>
          <cell r="H674">
            <v>18488935</v>
          </cell>
        </row>
        <row r="675">
          <cell r="A675" t="str">
            <v>3410</v>
          </cell>
          <cell r="B675" t="str">
            <v>Ocak taşından istifli köprü ve menfez tahkimatı</v>
          </cell>
          <cell r="C675" t="str">
            <v>M3</v>
          </cell>
          <cell r="E675">
            <v>11751675</v>
          </cell>
          <cell r="F675">
            <v>15845241</v>
          </cell>
          <cell r="G675">
            <v>24586030</v>
          </cell>
          <cell r="H675">
            <v>34795918</v>
          </cell>
        </row>
        <row r="676">
          <cell r="A676" t="str">
            <v>3415</v>
          </cell>
          <cell r="B676" t="str">
            <v>Kazı taşından istifli köprü ve menfez tahkimatı</v>
          </cell>
          <cell r="C676" t="str">
            <v>M3</v>
          </cell>
          <cell r="E676">
            <v>10111728</v>
          </cell>
          <cell r="F676">
            <v>13674801</v>
          </cell>
          <cell r="G676">
            <v>20869601</v>
          </cell>
          <cell r="H676">
            <v>29687046</v>
          </cell>
        </row>
        <row r="677">
          <cell r="A677" t="str">
            <v>3520</v>
          </cell>
          <cell r="B677" t="str">
            <v>50 cm. kalınlıkta ocak taşı ile kuru pere</v>
          </cell>
          <cell r="C677" t="str">
            <v>M2</v>
          </cell>
          <cell r="E677">
            <v>7966803</v>
          </cell>
          <cell r="F677">
            <v>10745301</v>
          </cell>
          <cell r="G677">
            <v>16625902</v>
          </cell>
          <cell r="H677">
            <v>23545955</v>
          </cell>
        </row>
        <row r="678">
          <cell r="A678" t="str">
            <v>3521</v>
          </cell>
          <cell r="B678" t="str">
            <v>50 cm. kalınlıkta kazı taşı ile kuru pere</v>
          </cell>
          <cell r="C678" t="str">
            <v>M2</v>
          </cell>
          <cell r="E678">
            <v>7072288</v>
          </cell>
          <cell r="F678">
            <v>9561425</v>
          </cell>
          <cell r="G678">
            <v>14598760</v>
          </cell>
          <cell r="H678">
            <v>20759297</v>
          </cell>
        </row>
        <row r="679">
          <cell r="A679" t="str">
            <v>3522</v>
          </cell>
          <cell r="B679" t="str">
            <v>50 cm. kalınlıkta ocak taşı ile harçlı pere</v>
          </cell>
          <cell r="C679" t="str">
            <v>M2</v>
          </cell>
          <cell r="E679">
            <v>9569881</v>
          </cell>
          <cell r="F679">
            <v>12910997</v>
          </cell>
          <cell r="G679">
            <v>19933636</v>
          </cell>
          <cell r="H679">
            <v>28244376</v>
          </cell>
        </row>
        <row r="680">
          <cell r="A680" t="str">
            <v>3523</v>
          </cell>
          <cell r="B680" t="str">
            <v>50 cm. kalınlıkta kazı taşı ile harçlı pere</v>
          </cell>
          <cell r="C680" t="str">
            <v>M2</v>
          </cell>
          <cell r="E680">
            <v>8675366</v>
          </cell>
          <cell r="F680">
            <v>11727121</v>
          </cell>
          <cell r="G680">
            <v>17906493</v>
          </cell>
          <cell r="H680">
            <v>25457718</v>
          </cell>
        </row>
        <row r="681">
          <cell r="A681" t="str">
            <v>3524</v>
          </cell>
          <cell r="B681" t="str">
            <v>Betondan mamul dolu bloklarla her boyutta kuru pere yapılması</v>
          </cell>
          <cell r="C681" t="str">
            <v>M3</v>
          </cell>
          <cell r="E681">
            <v>25143406</v>
          </cell>
          <cell r="F681">
            <v>35328548</v>
          </cell>
          <cell r="G681">
            <v>52901522</v>
          </cell>
          <cell r="H681">
            <v>73518288</v>
          </cell>
        </row>
        <row r="682">
          <cell r="A682" t="str">
            <v>3525</v>
          </cell>
          <cell r="B682" t="str">
            <v>Betondan mamul dolu bloklarla her boyutta harçlı pere yapılması</v>
          </cell>
          <cell r="C682" t="str">
            <v>M3</v>
          </cell>
          <cell r="E682">
            <v>26599566</v>
          </cell>
          <cell r="F682">
            <v>35328548</v>
          </cell>
          <cell r="G682">
            <v>55857258</v>
          </cell>
          <cell r="H682">
            <v>77797673</v>
          </cell>
        </row>
        <row r="683">
          <cell r="A683" t="str">
            <v>3600</v>
          </cell>
          <cell r="B683" t="str">
            <v>Ø 60 cm.lik 250 dozlu sepet kulp'u kesitli yerinde dökme büz ile menfez yapılması</v>
          </cell>
          <cell r="C683" t="str">
            <v>MT</v>
          </cell>
          <cell r="E683">
            <v>8422940</v>
          </cell>
          <cell r="F683">
            <v>11004666</v>
          </cell>
          <cell r="G683">
            <v>17949468</v>
          </cell>
          <cell r="H683">
            <v>24538930</v>
          </cell>
        </row>
        <row r="684">
          <cell r="A684" t="str">
            <v>3600/K</v>
          </cell>
          <cell r="B684" t="str">
            <v>Ø 60 cm.lik 250 dozlu (BS 16) sepet kulp'u kesitli yerinde dökme büz ile menfez yapılması (Beton santralı ile)</v>
          </cell>
          <cell r="C684" t="str">
            <v>MT</v>
          </cell>
          <cell r="E684">
            <v>8344212</v>
          </cell>
          <cell r="F684">
            <v>10893327</v>
          </cell>
          <cell r="G684">
            <v>18014981</v>
          </cell>
          <cell r="H684">
            <v>24545701</v>
          </cell>
        </row>
        <row r="685">
          <cell r="A685" t="str">
            <v>3601</v>
          </cell>
          <cell r="B685" t="str">
            <v>Ø 80 cm.lik 250 dozlu sepet kulp'u kesitli yerinde dökme büz ile menfez yapılması</v>
          </cell>
          <cell r="C685" t="str">
            <v>MT</v>
          </cell>
          <cell r="E685">
            <v>12894746</v>
          </cell>
          <cell r="F685">
            <v>16915890</v>
          </cell>
          <cell r="G685">
            <v>27389221</v>
          </cell>
          <cell r="H685">
            <v>37616281</v>
          </cell>
        </row>
        <row r="686">
          <cell r="A686" t="str">
            <v>3601/K</v>
          </cell>
          <cell r="B686" t="str">
            <v>Ø 80 cm. lik 250 dozlu (BS 16) sepet kulp'u kesitli yerinde dökme büz ile menfez yapılması (Beton santralı ile)</v>
          </cell>
          <cell r="C686" t="str">
            <v>MT</v>
          </cell>
          <cell r="E686">
            <v>12755383</v>
          </cell>
          <cell r="F686">
            <v>16718797</v>
          </cell>
          <cell r="G686">
            <v>27505192</v>
          </cell>
          <cell r="H686">
            <v>37628267</v>
          </cell>
        </row>
        <row r="687">
          <cell r="A687" t="str">
            <v>3602</v>
          </cell>
          <cell r="B687" t="str">
            <v>Ø 100 cm.lik 250 dozlu sepet kulp'u kesitli yerinde dökme büz ile menfez yapılması</v>
          </cell>
          <cell r="C687" t="str">
            <v>MT</v>
          </cell>
          <cell r="E687">
            <v>18245158</v>
          </cell>
          <cell r="F687">
            <v>24015198</v>
          </cell>
          <cell r="G687">
            <v>38648322</v>
          </cell>
          <cell r="H687">
            <v>53281436</v>
          </cell>
        </row>
        <row r="688">
          <cell r="A688" t="str">
            <v>3602/K</v>
          </cell>
          <cell r="B688" t="str">
            <v>Ø 100 cm.lik 250 dozlu (BS 16) sepet kulp'u kesitli yerinde dökme büz ile menfez yapılması (Beton santralı ile)</v>
          </cell>
          <cell r="C688" t="str">
            <v>MT</v>
          </cell>
          <cell r="E688">
            <v>18027313</v>
          </cell>
          <cell r="F688">
            <v>23707112</v>
          </cell>
          <cell r="G688">
            <v>38829602</v>
          </cell>
          <cell r="H688">
            <v>53300172</v>
          </cell>
        </row>
        <row r="689">
          <cell r="A689" t="str">
            <v>3603</v>
          </cell>
          <cell r="B689" t="str">
            <v>Ø 120 cm.lik 250 dozlu sepet kulp'u kesitli yerinde dökme büz ile menfez yapılması</v>
          </cell>
          <cell r="C689" t="str">
            <v>MT</v>
          </cell>
          <cell r="E689">
            <v>24420257</v>
          </cell>
          <cell r="F689">
            <v>32227302</v>
          </cell>
          <cell r="G689">
            <v>51618511</v>
          </cell>
          <cell r="H689">
            <v>71374298</v>
          </cell>
        </row>
        <row r="690">
          <cell r="A690" t="str">
            <v>3603/K</v>
          </cell>
          <cell r="B690" t="str">
            <v>Ø 120 cm.lik 250 dozlu (BS 16) sepet kulp'u kesitli yerinde dökme büz ile menfez yapılması (Beton santralı ile)</v>
          </cell>
          <cell r="C690" t="str">
            <v>MT</v>
          </cell>
          <cell r="E690">
            <v>24107058</v>
          </cell>
          <cell r="F690">
            <v>31784365</v>
          </cell>
          <cell r="G690">
            <v>51879141</v>
          </cell>
          <cell r="H690">
            <v>71401237</v>
          </cell>
        </row>
        <row r="691">
          <cell r="A691" t="str">
            <v>3605/A</v>
          </cell>
          <cell r="B691" t="str">
            <v>Ø 150 mm. lik tünel tipi drenaj borusu temini ve döşenmesi</v>
          </cell>
          <cell r="C691" t="str">
            <v>MT</v>
          </cell>
          <cell r="E691">
            <v>3045263</v>
          </cell>
          <cell r="F691">
            <v>3373625</v>
          </cell>
          <cell r="G691">
            <v>5640975</v>
          </cell>
          <cell r="H691">
            <v>8557750</v>
          </cell>
        </row>
        <row r="692">
          <cell r="A692" t="str">
            <v>3605/A1</v>
          </cell>
          <cell r="B692" t="str">
            <v>Ø 200 mm.lik tünel tipi drenaj borusu temini ve döşenmesi</v>
          </cell>
          <cell r="C692" t="str">
            <v>MT</v>
          </cell>
          <cell r="E692">
            <v>3420263</v>
          </cell>
          <cell r="F692">
            <v>3811125</v>
          </cell>
          <cell r="G692">
            <v>443475</v>
          </cell>
          <cell r="H692">
            <v>9670250</v>
          </cell>
        </row>
        <row r="693">
          <cell r="A693" t="str">
            <v>3605/A2</v>
          </cell>
          <cell r="B693" t="str">
            <v>Ø 200 mm.lik PVC drenaj borusu temini ve yerine döşenmesi</v>
          </cell>
          <cell r="C693" t="str">
            <v>MT</v>
          </cell>
          <cell r="E693">
            <v>5045263</v>
          </cell>
          <cell r="F693">
            <v>6311125</v>
          </cell>
          <cell r="G693">
            <v>12593475</v>
          </cell>
          <cell r="H693">
            <v>18882750</v>
          </cell>
        </row>
        <row r="694">
          <cell r="A694" t="str">
            <v>3650</v>
          </cell>
          <cell r="B694" t="str">
            <v>Kanaviçeli tecrit</v>
          </cell>
          <cell r="C694" t="str">
            <v>M2</v>
          </cell>
          <cell r="E694">
            <v>2630400</v>
          </cell>
          <cell r="F694">
            <v>3622500</v>
          </cell>
          <cell r="G694">
            <v>5997625</v>
          </cell>
          <cell r="H694">
            <v>8441250</v>
          </cell>
        </row>
        <row r="695">
          <cell r="A695" t="str">
            <v>3657</v>
          </cell>
          <cell r="B695" t="str">
            <v>Bitümlü maddeler (Soğuk asfalt ve benzerleri) ile tecrit</v>
          </cell>
          <cell r="C695" t="str">
            <v>M2</v>
          </cell>
          <cell r="E695">
            <v>1684870</v>
          </cell>
          <cell r="F695">
            <v>2885437</v>
          </cell>
          <cell r="G695">
            <v>5189250</v>
          </cell>
          <cell r="H695">
            <v>7083321</v>
          </cell>
        </row>
        <row r="696">
          <cell r="A696" t="str">
            <v>37.001/K</v>
          </cell>
          <cell r="B696" t="str">
            <v>Traktörle toprağın 20-25 cm. derinlikte sürülmesi</v>
          </cell>
          <cell r="C696" t="str">
            <v>DA</v>
          </cell>
          <cell r="E696">
            <v>3247461</v>
          </cell>
          <cell r="F696">
            <v>4253197</v>
          </cell>
          <cell r="G696">
            <v>7671297</v>
          </cell>
          <cell r="H696">
            <v>10771395</v>
          </cell>
        </row>
        <row r="697">
          <cell r="A697" t="str">
            <v>37.006</v>
          </cell>
          <cell r="B697" t="str">
            <v>Çim saha tanziminde toprağın el ile tırmıklanması</v>
          </cell>
          <cell r="C697" t="str">
            <v>AR</v>
          </cell>
          <cell r="E697">
            <v>1118600</v>
          </cell>
          <cell r="F697">
            <v>1510875</v>
          </cell>
          <cell r="G697">
            <v>2309875</v>
          </cell>
          <cell r="H697">
            <v>3281000</v>
          </cell>
        </row>
        <row r="698">
          <cell r="A698" t="str">
            <v>37.006/K</v>
          </cell>
          <cell r="B698" t="str">
            <v>Yolların yarma ve dolgu şevleri ile orta refüjlerde yapılan çim saha tanziminde toprağın el ile tırmıklanması</v>
          </cell>
          <cell r="C698" t="str">
            <v>M2</v>
          </cell>
          <cell r="E698">
            <v>26213</v>
          </cell>
          <cell r="F698">
            <v>35400</v>
          </cell>
          <cell r="G698">
            <v>54150</v>
          </cell>
          <cell r="H698">
            <v>76875</v>
          </cell>
        </row>
        <row r="699">
          <cell r="A699" t="str">
            <v>37.007</v>
          </cell>
          <cell r="B699" t="str">
            <v>Yumuşak toprakların 20-25 cm.derinlikte bellenmesi</v>
          </cell>
          <cell r="C699" t="str">
            <v>AR</v>
          </cell>
          <cell r="E699">
            <v>2303000</v>
          </cell>
          <cell r="F699">
            <v>3110625</v>
          </cell>
          <cell r="G699">
            <v>4755625</v>
          </cell>
          <cell r="H699">
            <v>6755000</v>
          </cell>
        </row>
        <row r="700">
          <cell r="A700" t="str">
            <v>37.007/K</v>
          </cell>
          <cell r="B700" t="str">
            <v>Yolların orta refüjlerinde çim saha hazırlamak için yumuşak toprakların 20-25 cm. derinlikte bellenmesi</v>
          </cell>
          <cell r="C700" t="str">
            <v>M2</v>
          </cell>
          <cell r="E700">
            <v>41891</v>
          </cell>
          <cell r="F700">
            <v>56587</v>
          </cell>
          <cell r="G700">
            <v>86531</v>
          </cell>
          <cell r="H700">
            <v>122887</v>
          </cell>
        </row>
        <row r="701">
          <cell r="A701" t="str">
            <v>37.008</v>
          </cell>
          <cell r="B701" t="str">
            <v>Sert toprakların 20-25 cm.derinlikte bellenmesi</v>
          </cell>
          <cell r="C701" t="str">
            <v>AR</v>
          </cell>
          <cell r="E701">
            <v>4606000</v>
          </cell>
          <cell r="F701">
            <v>6221250</v>
          </cell>
          <cell r="G701">
            <v>9511250</v>
          </cell>
          <cell r="H701">
            <v>13510000</v>
          </cell>
        </row>
        <row r="702">
          <cell r="A702" t="str">
            <v>37.008/K</v>
          </cell>
          <cell r="B702" t="str">
            <v>Yolların orta refüjlerinde çim saha hazırlamak için sert toprakların 20-25 cm. derinlikte bellenmesi</v>
          </cell>
          <cell r="C702" t="str">
            <v>M2</v>
          </cell>
          <cell r="E702">
            <v>77203</v>
          </cell>
          <cell r="F702">
            <v>104287</v>
          </cell>
          <cell r="G702">
            <v>159475</v>
          </cell>
          <cell r="H702">
            <v>226475</v>
          </cell>
        </row>
        <row r="703">
          <cell r="A703" t="str">
            <v>37.009/K</v>
          </cell>
          <cell r="B703" t="str">
            <v>Toprağın çapalanması ve satıhların el ile düzeltilmesi</v>
          </cell>
          <cell r="C703" t="str">
            <v>AR</v>
          </cell>
          <cell r="E703">
            <v>1974000</v>
          </cell>
          <cell r="F703">
            <v>2666250</v>
          </cell>
          <cell r="G703">
            <v>4076250</v>
          </cell>
          <cell r="H703">
            <v>5790000</v>
          </cell>
        </row>
        <row r="704">
          <cell r="A704" t="str">
            <v>37.009/K-1</v>
          </cell>
          <cell r="B704" t="str">
            <v>Yolların yarma ve dolgu şevleri ile orta refüjlerde toprağın çapalanması ve satıhların el ile düzeltilmesi</v>
          </cell>
          <cell r="C704" t="str">
            <v>M2</v>
          </cell>
          <cell r="E704">
            <v>35580</v>
          </cell>
          <cell r="F704">
            <v>48062</v>
          </cell>
          <cell r="G704">
            <v>73500</v>
          </cell>
          <cell r="H704">
            <v>104375</v>
          </cell>
        </row>
        <row r="705">
          <cell r="A705" t="str">
            <v>37.010/K-1</v>
          </cell>
          <cell r="B705" t="str">
            <v>Fidan diplerinin 30 cm. çapında çapalanması</v>
          </cell>
          <cell r="C705" t="str">
            <v>AD</v>
          </cell>
          <cell r="E705">
            <v>39480</v>
          </cell>
          <cell r="F705">
            <v>53325</v>
          </cell>
          <cell r="G705">
            <v>81525</v>
          </cell>
          <cell r="H705">
            <v>115800</v>
          </cell>
        </row>
        <row r="706">
          <cell r="A706" t="str">
            <v>37.010/K-2</v>
          </cell>
          <cell r="B706" t="str">
            <v>Fidan diplerinin 80 cm. çapında çapalanması</v>
          </cell>
          <cell r="C706" t="str">
            <v>AD</v>
          </cell>
          <cell r="E706">
            <v>98700</v>
          </cell>
          <cell r="F706">
            <v>133312</v>
          </cell>
          <cell r="G706">
            <v>203812</v>
          </cell>
          <cell r="H706">
            <v>289500</v>
          </cell>
        </row>
        <row r="707">
          <cell r="A707" t="str">
            <v>37.010/K-5</v>
          </cell>
          <cell r="B707" t="str">
            <v>Yolların yarma ve dolgu şevleri ile orta refüjlerde fidan diplerinin 50 cm. çapında çapalanması</v>
          </cell>
          <cell r="C707" t="str">
            <v>AD</v>
          </cell>
          <cell r="E707">
            <v>71160</v>
          </cell>
          <cell r="F707">
            <v>96125</v>
          </cell>
          <cell r="G707">
            <v>147000</v>
          </cell>
          <cell r="H707">
            <v>208750</v>
          </cell>
        </row>
        <row r="708">
          <cell r="A708" t="str">
            <v>37.010/K-6</v>
          </cell>
          <cell r="B708" t="str">
            <v>Yolların yarma ve dolgu şevleri ile orta refüjlerde fidan diplerinin  80 cm. çapında çapalanması</v>
          </cell>
          <cell r="C708" t="str">
            <v>AD</v>
          </cell>
          <cell r="E708">
            <v>142320</v>
          </cell>
          <cell r="F708">
            <v>192250</v>
          </cell>
          <cell r="G708">
            <v>294000</v>
          </cell>
          <cell r="H708">
            <v>417500</v>
          </cell>
        </row>
        <row r="709">
          <cell r="A709" t="str">
            <v>37.012/K</v>
          </cell>
          <cell r="B709" t="str">
            <v>Yumuşak topraklarda 30 cm. çapında 30 cm. derinliğinde el ile fidan çukurunun açılması</v>
          </cell>
          <cell r="C709" t="str">
            <v>AD</v>
          </cell>
          <cell r="E709">
            <v>92120</v>
          </cell>
          <cell r="F709">
            <v>124425</v>
          </cell>
          <cell r="G709">
            <v>190225</v>
          </cell>
          <cell r="H709">
            <v>270200</v>
          </cell>
        </row>
        <row r="710">
          <cell r="A710" t="str">
            <v>37.012/K-1</v>
          </cell>
          <cell r="B710" t="str">
            <v>Yolların yarma ve dolgu şevleri ile orta refüjlerde yumuşak topraklarda 30 cm. çapında 30 cm. derinliğinde el ile fidan çukurunun açılması</v>
          </cell>
          <cell r="C710" t="str">
            <v>AD</v>
          </cell>
          <cell r="E710">
            <v>106740</v>
          </cell>
          <cell r="F710">
            <v>144187</v>
          </cell>
          <cell r="G710">
            <v>220500</v>
          </cell>
          <cell r="H710">
            <v>313125</v>
          </cell>
        </row>
        <row r="711">
          <cell r="A711" t="str">
            <v>37.014/K</v>
          </cell>
          <cell r="B711" t="str">
            <v>Yumuşak topraklarda 40 cm. çapında 50 cm. derinliğinde el ile fidan çukurunun açılması</v>
          </cell>
          <cell r="C711" t="str">
            <v>AD</v>
          </cell>
          <cell r="E711">
            <v>157920</v>
          </cell>
          <cell r="F711">
            <v>213300</v>
          </cell>
          <cell r="G711">
            <v>326100</v>
          </cell>
          <cell r="H711">
            <v>463200</v>
          </cell>
        </row>
        <row r="712">
          <cell r="A712" t="str">
            <v>37.014/K-1</v>
          </cell>
          <cell r="B712" t="str">
            <v>Yolların yarma ve dolgu şevleri ile orta refüjlerde yumuşak topraklarda 40 cm. çapında 50 cm. derinliğinde el ile fidan çukurunun açılması</v>
          </cell>
          <cell r="C712" t="str">
            <v>AD</v>
          </cell>
          <cell r="E712">
            <v>284640</v>
          </cell>
          <cell r="F712">
            <v>384500</v>
          </cell>
          <cell r="G712">
            <v>588000</v>
          </cell>
          <cell r="H712">
            <v>835000</v>
          </cell>
        </row>
        <row r="713">
          <cell r="A713" t="str">
            <v>37.016/K</v>
          </cell>
          <cell r="B713" t="str">
            <v>Yumuşak topraklarda 60 cm. çapında 80 cm. derinliğinde el ile fidan çukurunun açılması</v>
          </cell>
          <cell r="C713" t="str">
            <v>AD</v>
          </cell>
          <cell r="E713">
            <v>284640</v>
          </cell>
          <cell r="F713">
            <v>384500</v>
          </cell>
          <cell r="G713">
            <v>588000</v>
          </cell>
          <cell r="H713">
            <v>835000</v>
          </cell>
        </row>
        <row r="714">
          <cell r="A714" t="str">
            <v>37.018/K</v>
          </cell>
          <cell r="B714" t="str">
            <v>Sert ve çakıllı topraklarda 30 cm. çapında 30 cm. derinliğinde el ile fidan çukurunun açılması</v>
          </cell>
          <cell r="C714" t="str">
            <v>AD</v>
          </cell>
          <cell r="E714">
            <v>118440</v>
          </cell>
          <cell r="F714">
            <v>159975</v>
          </cell>
          <cell r="G714">
            <v>244575</v>
          </cell>
          <cell r="H714">
            <v>347400</v>
          </cell>
        </row>
        <row r="715">
          <cell r="A715" t="str">
            <v>37.018/K-1</v>
          </cell>
          <cell r="B715" t="str">
            <v>Yolların yarma ve dolgu şevleri ile orta refüjlerde sert ve çakıllı topraklarda 30 cm. çapında 30 cm. derinliğinde el ile fidan çukurunun açılması</v>
          </cell>
          <cell r="C715" t="str">
            <v>AD</v>
          </cell>
          <cell r="E715">
            <v>177900</v>
          </cell>
          <cell r="F715">
            <v>240312</v>
          </cell>
          <cell r="G715">
            <v>367500</v>
          </cell>
          <cell r="H715">
            <v>521875</v>
          </cell>
        </row>
        <row r="716">
          <cell r="A716" t="str">
            <v>37.020/K</v>
          </cell>
          <cell r="B716" t="str">
            <v>Sert ve çakıllı topraklarda 40 cm. çapında 50 cm. derinliğinde el ile fidan çukurunun açılması</v>
          </cell>
          <cell r="C716" t="str">
            <v>AD</v>
          </cell>
          <cell r="E716">
            <v>203980</v>
          </cell>
          <cell r="F716">
            <v>275512</v>
          </cell>
          <cell r="G716">
            <v>421212</v>
          </cell>
          <cell r="H716">
            <v>598300</v>
          </cell>
        </row>
        <row r="717">
          <cell r="A717" t="str">
            <v>37.020/K-1</v>
          </cell>
          <cell r="B717" t="str">
            <v>Yolların yarma ve dolgu şevleri ile orta refüjlerde sert ve çakıllı topraklarda 40 cm. çapında 50 cm. derinliğinde el ile fidan çukurunun açılması</v>
          </cell>
          <cell r="C717" t="str">
            <v>AD</v>
          </cell>
          <cell r="E717">
            <v>426960</v>
          </cell>
          <cell r="F717">
            <v>576750</v>
          </cell>
          <cell r="G717">
            <v>882000</v>
          </cell>
          <cell r="H717">
            <v>1252500</v>
          </cell>
        </row>
        <row r="718">
          <cell r="A718" t="str">
            <v>37.022</v>
          </cell>
          <cell r="B718" t="str">
            <v>Sert ve çakıllı topraklarda 60 cm. çapında 80 cm.derinliğinde el ile fidan çukurunun açılması</v>
          </cell>
          <cell r="C718" t="str">
            <v>AD</v>
          </cell>
          <cell r="E718">
            <v>426960</v>
          </cell>
          <cell r="F718">
            <v>576750</v>
          </cell>
          <cell r="G718">
            <v>882000</v>
          </cell>
          <cell r="H718">
            <v>1252500</v>
          </cell>
        </row>
        <row r="719">
          <cell r="A719" t="str">
            <v>37.026</v>
          </cell>
          <cell r="B719" t="str">
            <v>Yumuşak topraklarda teras açılması</v>
          </cell>
          <cell r="C719" t="str">
            <v>M3</v>
          </cell>
          <cell r="E719">
            <v>987000</v>
          </cell>
          <cell r="F719">
            <v>1333125</v>
          </cell>
          <cell r="G719">
            <v>2038125</v>
          </cell>
          <cell r="H719">
            <v>2895000</v>
          </cell>
        </row>
        <row r="720">
          <cell r="A720" t="str">
            <v>37.026/K</v>
          </cell>
          <cell r="B720" t="str">
            <v>Yolların yarma ve dolgu şevlerinde yumuşak topraklarda teras açılması</v>
          </cell>
          <cell r="C720" t="str">
            <v>M3</v>
          </cell>
          <cell r="E720">
            <v>3339900</v>
          </cell>
          <cell r="F720">
            <v>4511562</v>
          </cell>
          <cell r="G720">
            <v>6899062</v>
          </cell>
          <cell r="H720">
            <v>9797500</v>
          </cell>
        </row>
        <row r="721">
          <cell r="A721" t="str">
            <v>37.027</v>
          </cell>
          <cell r="B721" t="str">
            <v>Sert ve taşlı topraklarda teras açılması</v>
          </cell>
          <cell r="C721" t="str">
            <v>M3</v>
          </cell>
          <cell r="E721">
            <v>1480500</v>
          </cell>
          <cell r="F721">
            <v>1999687</v>
          </cell>
          <cell r="G721">
            <v>3057187</v>
          </cell>
          <cell r="H721">
            <v>4342500</v>
          </cell>
        </row>
        <row r="722">
          <cell r="A722" t="str">
            <v>37.027/K</v>
          </cell>
          <cell r="B722" t="str">
            <v>Yolların yarma ve dolgu şevlerinde sert ve taşlı topraklarda teras açılması</v>
          </cell>
          <cell r="C722" t="str">
            <v>M3</v>
          </cell>
          <cell r="E722">
            <v>4861800</v>
          </cell>
          <cell r="F722">
            <v>6567375</v>
          </cell>
          <cell r="G722">
            <v>10042875</v>
          </cell>
          <cell r="H722">
            <v>14262000</v>
          </cell>
        </row>
        <row r="723">
          <cell r="A723" t="str">
            <v>37.030</v>
          </cell>
          <cell r="B723" t="str">
            <v>Çim ve çiçeklik sahaların tanzimi</v>
          </cell>
          <cell r="C723" t="str">
            <v>AR</v>
          </cell>
          <cell r="E723">
            <v>10759391</v>
          </cell>
          <cell r="F723">
            <v>14534100</v>
          </cell>
          <cell r="G723">
            <v>22226400</v>
          </cell>
          <cell r="H723">
            <v>31563000</v>
          </cell>
        </row>
        <row r="724">
          <cell r="A724" t="str">
            <v>37.035/K</v>
          </cell>
          <cell r="B724" t="str">
            <v>30 cm. çap ve 30 cm. derinlikteki çukurlara ibreli küçük fidanların topraksız dikimi</v>
          </cell>
          <cell r="C724" t="str">
            <v>AD</v>
          </cell>
          <cell r="E724">
            <v>13157</v>
          </cell>
          <cell r="F724">
            <v>17775</v>
          </cell>
          <cell r="G724">
            <v>27175</v>
          </cell>
          <cell r="H724">
            <v>38600</v>
          </cell>
        </row>
        <row r="725">
          <cell r="A725" t="str">
            <v>37.035/K-1</v>
          </cell>
          <cell r="B725" t="str">
            <v>Yolların yarma ve dolgu şevleri ile orta refüjlerde 30 cm.çap ve 30 cm. derinlikteki çukurlara ibreli küçük fidanların topraksız dikimi</v>
          </cell>
          <cell r="C725" t="str">
            <v>AD</v>
          </cell>
          <cell r="E725">
            <v>82260</v>
          </cell>
          <cell r="F725">
            <v>111092</v>
          </cell>
          <cell r="G725">
            <v>169930</v>
          </cell>
          <cell r="H725">
            <v>241250</v>
          </cell>
        </row>
        <row r="726">
          <cell r="A726" t="str">
            <v>37.040/K</v>
          </cell>
          <cell r="B726" t="str">
            <v>40 cm. çap ve 50 cm. derinlikteki çukurlara ibreli büyük fidanlarla yapraklı fidanların topraklı dikimi</v>
          </cell>
          <cell r="C726" t="str">
            <v>AD</v>
          </cell>
          <cell r="E726">
            <v>98698</v>
          </cell>
          <cell r="F726">
            <v>133312</v>
          </cell>
          <cell r="G726">
            <v>203812</v>
          </cell>
          <cell r="H726">
            <v>289500</v>
          </cell>
        </row>
        <row r="727">
          <cell r="A727" t="str">
            <v>37.040/K-1</v>
          </cell>
          <cell r="B727" t="str">
            <v>Yolların yarma ve dolgu şevleri ile orta refüjlerde 40 cm.çap ve 50 cm. derinlikteki çukurlara ibreli ve yapraklı fidanların topraklı dikimi</v>
          </cell>
          <cell r="C727" t="str">
            <v>AD</v>
          </cell>
          <cell r="E727">
            <v>296725</v>
          </cell>
          <cell r="F727">
            <v>400737</v>
          </cell>
          <cell r="G727">
            <v>612950</v>
          </cell>
          <cell r="H727">
            <v>870250</v>
          </cell>
        </row>
        <row r="728">
          <cell r="A728" t="str">
            <v>37.040/K-2</v>
          </cell>
          <cell r="B728" t="str">
            <v>60 cm. çap ve 80 cm. derinlikteki çukurlara ibreli ve yapraklı fidanların kaplı dikimi</v>
          </cell>
          <cell r="C728" t="str">
            <v>AD</v>
          </cell>
          <cell r="E728">
            <v>310957</v>
          </cell>
          <cell r="F728">
            <v>419962</v>
          </cell>
          <cell r="G728">
            <v>642350</v>
          </cell>
          <cell r="H728">
            <v>912000</v>
          </cell>
        </row>
        <row r="729">
          <cell r="A729" t="str">
            <v>37.043/K</v>
          </cell>
          <cell r="B729" t="str">
            <v>30 cm. çap ve 30 cm.derinlikteki çukurlara sarılıcı ve örtücü fidanların dikimi</v>
          </cell>
          <cell r="C729" t="str">
            <v>AD</v>
          </cell>
          <cell r="E729">
            <v>24343</v>
          </cell>
          <cell r="F729">
            <v>32883</v>
          </cell>
          <cell r="G729">
            <v>50273</v>
          </cell>
          <cell r="H729">
            <v>71410</v>
          </cell>
        </row>
        <row r="730">
          <cell r="A730" t="str">
            <v>37.045/K</v>
          </cell>
          <cell r="B730" t="str">
            <v>40 cm. çap ve 50 cm. derinlikteki çukurlara yapraklı fidanların ve çalıların topraksız dikimi</v>
          </cell>
          <cell r="C730" t="str">
            <v>AD</v>
          </cell>
          <cell r="E730">
            <v>78958</v>
          </cell>
          <cell r="F730">
            <v>106650</v>
          </cell>
          <cell r="G730">
            <v>163050</v>
          </cell>
          <cell r="H730">
            <v>231600</v>
          </cell>
        </row>
        <row r="731">
          <cell r="A731" t="str">
            <v>37.045/K-1</v>
          </cell>
          <cell r="B731" t="str">
            <v>Yolların yarma ve dolgu şevleri ile orta refüjlerde 40 cm.çap ve 50 cm. derinlikteki çukurlara yapraklı fidanların ve çalıların topraksız dikimi</v>
          </cell>
          <cell r="C731" t="str">
            <v>AD</v>
          </cell>
          <cell r="E731">
            <v>217455</v>
          </cell>
          <cell r="F731">
            <v>293675</v>
          </cell>
          <cell r="G731">
            <v>449200</v>
          </cell>
          <cell r="H731">
            <v>637750</v>
          </cell>
        </row>
        <row r="732">
          <cell r="A732" t="str">
            <v>37.049</v>
          </cell>
          <cell r="B732" t="str">
            <v>Çit nebatlarının topraksız dikimi</v>
          </cell>
          <cell r="C732" t="str">
            <v>YA</v>
          </cell>
          <cell r="E732">
            <v>1842400</v>
          </cell>
          <cell r="F732">
            <v>2488500</v>
          </cell>
          <cell r="G732">
            <v>3804500</v>
          </cell>
          <cell r="H732">
            <v>5404000</v>
          </cell>
        </row>
        <row r="733">
          <cell r="A733" t="str">
            <v>37.072</v>
          </cell>
          <cell r="B733" t="str">
            <v>Park sahalarının hortumla sulanması</v>
          </cell>
          <cell r="C733" t="str">
            <v>AR</v>
          </cell>
          <cell r="E733">
            <v>263200</v>
          </cell>
          <cell r="F733">
            <v>355500</v>
          </cell>
          <cell r="G733">
            <v>543500</v>
          </cell>
          <cell r="H733">
            <v>772000</v>
          </cell>
        </row>
        <row r="734">
          <cell r="A734" t="str">
            <v>37.081/K</v>
          </cell>
          <cell r="B734" t="str">
            <v>Yapraklı ağaçların yan dallarının budanması ve tepe tacının yapılması</v>
          </cell>
          <cell r="C734" t="str">
            <v>AD</v>
          </cell>
          <cell r="E734">
            <v>721150</v>
          </cell>
          <cell r="F734">
            <v>973875</v>
          </cell>
          <cell r="G734">
            <v>1489625</v>
          </cell>
          <cell r="H734">
            <v>2114875</v>
          </cell>
        </row>
        <row r="735">
          <cell r="A735" t="str">
            <v>37.088</v>
          </cell>
          <cell r="B735" t="str">
            <v>Çim ve çiçeklik sahalarda yabani otların temizlenmesi</v>
          </cell>
          <cell r="C735" t="str">
            <v>AR</v>
          </cell>
          <cell r="E735">
            <v>355800</v>
          </cell>
          <cell r="F735">
            <v>480625</v>
          </cell>
          <cell r="G735">
            <v>735000</v>
          </cell>
          <cell r="H735">
            <v>1043750</v>
          </cell>
        </row>
        <row r="736">
          <cell r="A736" t="str">
            <v>37.088/K</v>
          </cell>
          <cell r="B736" t="str">
            <v>Yolların yarma ve dolgu şevleri ile orta refüjlerde yabani otların temizlenmesi</v>
          </cell>
          <cell r="C736" t="str">
            <v>DA</v>
          </cell>
          <cell r="E736">
            <v>7116000</v>
          </cell>
          <cell r="F736">
            <v>9612500</v>
          </cell>
          <cell r="G736">
            <v>14700000</v>
          </cell>
          <cell r="H736">
            <v>20875000</v>
          </cell>
        </row>
        <row r="737">
          <cell r="A737" t="str">
            <v>37.089</v>
          </cell>
          <cell r="B737" t="str">
            <v>Makasla çim ve çayır biçme</v>
          </cell>
          <cell r="C737" t="str">
            <v>M2</v>
          </cell>
          <cell r="E737">
            <v>35580</v>
          </cell>
          <cell r="F737">
            <v>48062</v>
          </cell>
          <cell r="G737">
            <v>73500</v>
          </cell>
          <cell r="H737">
            <v>104375</v>
          </cell>
        </row>
        <row r="738">
          <cell r="A738" t="str">
            <v>37.089/K</v>
          </cell>
          <cell r="B738" t="str">
            <v>Yolların otokorkuluklu orta refüjlerinde makasla çim ve çayırların biçilmesi</v>
          </cell>
          <cell r="C738" t="str">
            <v>M2</v>
          </cell>
          <cell r="E738">
            <v>50270</v>
          </cell>
          <cell r="F738">
            <v>67887</v>
          </cell>
          <cell r="G738">
            <v>103837</v>
          </cell>
          <cell r="H738">
            <v>147425</v>
          </cell>
        </row>
        <row r="739">
          <cell r="A739" t="str">
            <v>37.090</v>
          </cell>
          <cell r="B739" t="str">
            <v>Tırpanla çim ve çayır biçme</v>
          </cell>
          <cell r="C739" t="str">
            <v>AR</v>
          </cell>
          <cell r="E739">
            <v>355800</v>
          </cell>
          <cell r="F739">
            <v>480625</v>
          </cell>
          <cell r="G739">
            <v>735000</v>
          </cell>
          <cell r="H739">
            <v>1043750</v>
          </cell>
        </row>
        <row r="740">
          <cell r="A740" t="str">
            <v>37.090/K-1</v>
          </cell>
          <cell r="B740" t="str">
            <v>Yolların yarma ve dolgu şevleri ile orta refüjlerde tırpanla çim ve çayır biçme</v>
          </cell>
          <cell r="C740" t="str">
            <v>DA</v>
          </cell>
          <cell r="E740">
            <v>17055000</v>
          </cell>
          <cell r="F740">
            <v>23032500</v>
          </cell>
          <cell r="G740">
            <v>35227500</v>
          </cell>
          <cell r="H740">
            <v>50017500</v>
          </cell>
        </row>
        <row r="741">
          <cell r="A741" t="str">
            <v>37.091/K</v>
          </cell>
          <cell r="B741" t="str">
            <v>Yolların yarma ve dolgu şevleri ile orta refüjlerde makine ile çim biçme</v>
          </cell>
          <cell r="C741" t="str">
            <v>DA</v>
          </cell>
          <cell r="E741">
            <v>8099580</v>
          </cell>
          <cell r="F741">
            <v>10808900</v>
          </cell>
          <cell r="G741">
            <v>17697050</v>
          </cell>
          <cell r="H741">
            <v>24903200</v>
          </cell>
        </row>
        <row r="742">
          <cell r="A742" t="str">
            <v>37.092/1</v>
          </cell>
          <cell r="B742" t="str">
            <v>Toprağın gübrelenmesi</v>
          </cell>
          <cell r="C742" t="str">
            <v>TN</v>
          </cell>
          <cell r="E742">
            <v>2961000</v>
          </cell>
          <cell r="F742">
            <v>3999375</v>
          </cell>
          <cell r="G742">
            <v>6114375</v>
          </cell>
          <cell r="H742">
            <v>8685000</v>
          </cell>
        </row>
        <row r="743">
          <cell r="A743" t="str">
            <v>37.092/1-K</v>
          </cell>
          <cell r="B743" t="str">
            <v>Yolların yarma ve dolgu şevleri ile orta refüjlerde toprağın gübrelenmesi</v>
          </cell>
          <cell r="C743" t="str">
            <v>TN</v>
          </cell>
          <cell r="E743">
            <v>4598600</v>
          </cell>
          <cell r="F743">
            <v>6211875</v>
          </cell>
          <cell r="G743">
            <v>9499375</v>
          </cell>
          <cell r="H743">
            <v>13490000</v>
          </cell>
        </row>
        <row r="744">
          <cell r="A744" t="str">
            <v>37.094/K</v>
          </cell>
          <cell r="B744" t="str">
            <v>Çim veya çayır kesekleri ile kaplama</v>
          </cell>
          <cell r="C744" t="str">
            <v>M2</v>
          </cell>
          <cell r="E744">
            <v>1316000</v>
          </cell>
          <cell r="F744">
            <v>1777500</v>
          </cell>
          <cell r="G744">
            <v>2717500</v>
          </cell>
          <cell r="H744">
            <v>3860000</v>
          </cell>
        </row>
        <row r="745">
          <cell r="A745" t="str">
            <v>37.094/K-1</v>
          </cell>
          <cell r="B745" t="str">
            <v>Yolların yarma ve dolgu şevleri ile orta refüjlerde çim ve çayır kesekleri ile kaplama yapılması</v>
          </cell>
          <cell r="C745" t="str">
            <v>M2</v>
          </cell>
          <cell r="E745">
            <v>1574960</v>
          </cell>
          <cell r="F745">
            <v>2127000</v>
          </cell>
          <cell r="G745">
            <v>3253000</v>
          </cell>
          <cell r="H745">
            <v>4619000</v>
          </cell>
        </row>
        <row r="746">
          <cell r="A746" t="str">
            <v>37.097</v>
          </cell>
          <cell r="B746" t="str">
            <v>Erozyon önleme tahtası veya örgü çiti, canlı (Vejatatif) çitler ile şev tahkimi</v>
          </cell>
          <cell r="C746" t="str">
            <v>MT</v>
          </cell>
          <cell r="E746">
            <v>1720960</v>
          </cell>
          <cell r="F746">
            <v>2098598</v>
          </cell>
          <cell r="G746">
            <v>3872250</v>
          </cell>
          <cell r="H746">
            <v>4915625</v>
          </cell>
        </row>
        <row r="747">
          <cell r="A747" t="str">
            <v>37.556/K</v>
          </cell>
          <cell r="B747" t="str">
            <v>Çim tohumu ekme</v>
          </cell>
          <cell r="C747" t="str">
            <v>DA</v>
          </cell>
          <cell r="E747">
            <v>30560303</v>
          </cell>
          <cell r="F747">
            <v>39909781</v>
          </cell>
          <cell r="G747">
            <v>67229570</v>
          </cell>
          <cell r="H747">
            <v>90613162</v>
          </cell>
        </row>
        <row r="748">
          <cell r="A748" t="str">
            <v>37.556/K-1</v>
          </cell>
          <cell r="B748" t="str">
            <v>Yolların yarma ve dolgu şevleri ile orta refüjlerde çim saha teşkili</v>
          </cell>
          <cell r="C748" t="str">
            <v>DA</v>
          </cell>
          <cell r="E748">
            <v>116158346</v>
          </cell>
          <cell r="F748">
            <v>155523846</v>
          </cell>
          <cell r="G748">
            <v>244088531</v>
          </cell>
          <cell r="H748">
            <v>341603792</v>
          </cell>
        </row>
        <row r="749">
          <cell r="A749" t="str">
            <v>3750</v>
          </cell>
          <cell r="B749" t="str">
            <v>İnşaat bünyesine giren ahşap kazık</v>
          </cell>
          <cell r="C749" t="str">
            <v>M3</v>
          </cell>
          <cell r="E749">
            <v>93489250</v>
          </cell>
          <cell r="F749">
            <v>112186812</v>
          </cell>
          <cell r="G749">
            <v>201250000</v>
          </cell>
          <cell r="H749">
            <v>251562500</v>
          </cell>
        </row>
        <row r="750">
          <cell r="A750" t="str">
            <v>3763</v>
          </cell>
          <cell r="B750" t="str">
            <v>Çelik, kompozit menfez ve köprülerde montaj iskelesi (Kafes kirişli çelik köprüler hariç) B+10(G-5.60) B= 16167008</v>
          </cell>
          <cell r="C750" t="str">
            <v>MT</v>
          </cell>
          <cell r="E750">
            <v>7315333</v>
          </cell>
          <cell r="F750">
            <v>9509949</v>
          </cell>
          <cell r="G750">
            <v>16166952</v>
          </cell>
          <cell r="H750">
            <v>32333960</v>
          </cell>
        </row>
        <row r="751">
          <cell r="A751" t="str">
            <v>3779</v>
          </cell>
          <cell r="B751" t="str">
            <v>Ahşap imalatı katranlama</v>
          </cell>
          <cell r="C751" t="str">
            <v>M2</v>
          </cell>
          <cell r="E751">
            <v>329100</v>
          </cell>
          <cell r="F751">
            <v>451875</v>
          </cell>
          <cell r="G751">
            <v>700125</v>
          </cell>
          <cell r="H751">
            <v>1028750</v>
          </cell>
        </row>
        <row r="752">
          <cell r="A752" t="str">
            <v>3780/12</v>
          </cell>
          <cell r="B752" t="str">
            <v>Otokorkuluk başlık parçası yapılması ve yerine konulması</v>
          </cell>
          <cell r="C752" t="str">
            <v>AD</v>
          </cell>
          <cell r="E752">
            <v>17840238</v>
          </cell>
          <cell r="F752">
            <v>23669570</v>
          </cell>
          <cell r="G752">
            <v>37520027</v>
          </cell>
          <cell r="H752">
            <v>52431848</v>
          </cell>
        </row>
        <row r="753">
          <cell r="A753" t="str">
            <v>3780/16</v>
          </cell>
          <cell r="B753" t="str">
            <v>Refüj geçişleri için açılabilir otokorkuluk yapılması</v>
          </cell>
          <cell r="C753" t="str">
            <v>MT</v>
          </cell>
          <cell r="E753">
            <v>22648658</v>
          </cell>
          <cell r="F753">
            <v>30100855</v>
          </cell>
          <cell r="G753">
            <v>47165808</v>
          </cell>
          <cell r="H753">
            <v>66118831</v>
          </cell>
        </row>
        <row r="754">
          <cell r="A754" t="str">
            <v>3780/17</v>
          </cell>
          <cell r="B754" t="str">
            <v>Refüj geçişleri için açılabilir otokorkuluk montajı</v>
          </cell>
          <cell r="C754" t="str">
            <v>MT</v>
          </cell>
          <cell r="E754">
            <v>6507935</v>
          </cell>
          <cell r="F754">
            <v>8720766</v>
          </cell>
          <cell r="G754">
            <v>14002625</v>
          </cell>
          <cell r="H754">
            <v>19582012</v>
          </cell>
        </row>
        <row r="755">
          <cell r="A755" t="str">
            <v>3780/18</v>
          </cell>
          <cell r="B755" t="str">
            <v>Refüj geçişleri için açılabilir otokorkuluk yapılması ve yerine konulması</v>
          </cell>
          <cell r="C755" t="str">
            <v>MT</v>
          </cell>
          <cell r="E755">
            <v>29156593</v>
          </cell>
          <cell r="F755">
            <v>38821621</v>
          </cell>
          <cell r="G755">
            <v>61168433</v>
          </cell>
          <cell r="H755">
            <v>85700843</v>
          </cell>
        </row>
        <row r="756">
          <cell r="A756" t="str">
            <v>3780/30</v>
          </cell>
          <cell r="B756" t="str">
            <v>Otokorkuluk rayı yapılması (Ral-Rg 620)</v>
          </cell>
          <cell r="C756" t="str">
            <v>MT</v>
          </cell>
          <cell r="E756">
            <v>7097445</v>
          </cell>
          <cell r="F756">
            <v>9338395</v>
          </cell>
          <cell r="G756">
            <v>15018765</v>
          </cell>
          <cell r="H756">
            <v>21007362</v>
          </cell>
        </row>
        <row r="757">
          <cell r="A757" t="str">
            <v>3780/31</v>
          </cell>
          <cell r="B757" t="str">
            <v>Otokorkuluk dikmesi yapılması (Sigma profilden) (Ral-Rg 620)</v>
          </cell>
          <cell r="C757" t="str">
            <v>AD</v>
          </cell>
          <cell r="E757">
            <v>7245820</v>
          </cell>
          <cell r="F757">
            <v>9606185</v>
          </cell>
          <cell r="G757">
            <v>15312541</v>
          </cell>
          <cell r="H757">
            <v>21452670</v>
          </cell>
        </row>
        <row r="758">
          <cell r="A758" t="str">
            <v>3780/32</v>
          </cell>
          <cell r="B758" t="str">
            <v>Otokorkuluk dikmesi yapılması (Ipe 100 profilden)(Ral-Rg 620)</v>
          </cell>
          <cell r="C758" t="str">
            <v>AD</v>
          </cell>
          <cell r="E758">
            <v>5542157</v>
          </cell>
          <cell r="F758">
            <v>7477853</v>
          </cell>
          <cell r="G758">
            <v>11995213</v>
          </cell>
          <cell r="H758">
            <v>16714053</v>
          </cell>
        </row>
        <row r="759">
          <cell r="A759" t="str">
            <v>3780/33</v>
          </cell>
          <cell r="B759" t="str">
            <v>Otokorkuluk "u" takozu yapılması (Ral-Rg 620)</v>
          </cell>
          <cell r="C759" t="str">
            <v>AD</v>
          </cell>
          <cell r="E759">
            <v>788835</v>
          </cell>
          <cell r="F759">
            <v>1046897</v>
          </cell>
          <cell r="G759">
            <v>1657725</v>
          </cell>
          <cell r="H759">
            <v>2329772</v>
          </cell>
        </row>
        <row r="760">
          <cell r="A760" t="str">
            <v>3780/34</v>
          </cell>
          <cell r="B760" t="str">
            <v>Otokorkuluk bağlantı plakası yapılması (Ral-Rg 620)</v>
          </cell>
          <cell r="C760" t="str">
            <v>AD</v>
          </cell>
          <cell r="E760">
            <v>185620</v>
          </cell>
          <cell r="F760">
            <v>247877</v>
          </cell>
          <cell r="G760">
            <v>388163</v>
          </cell>
          <cell r="H760">
            <v>547222</v>
          </cell>
        </row>
        <row r="761">
          <cell r="A761" t="str">
            <v>3780/35</v>
          </cell>
          <cell r="B761" t="str">
            <v>Otokorkuluk takozu (L=480 mm.) ile ara bağlantı parçasının yapılması (Ral-Rg 620)</v>
          </cell>
          <cell r="C761" t="str">
            <v>AD</v>
          </cell>
          <cell r="E761">
            <v>4590367</v>
          </cell>
          <cell r="F761">
            <v>6079672</v>
          </cell>
          <cell r="G761">
            <v>9652213</v>
          </cell>
          <cell r="H761">
            <v>13554045</v>
          </cell>
        </row>
        <row r="762">
          <cell r="A762" t="str">
            <v>3780/36</v>
          </cell>
          <cell r="B762" t="str">
            <v>Otokorkuluk takozu (L=780 mm.) ile ara bağlantı parçasının yapılması (Ral-Rg 620)</v>
          </cell>
          <cell r="C762" t="str">
            <v>AD</v>
          </cell>
          <cell r="E762">
            <v>6354615</v>
          </cell>
          <cell r="F762">
            <v>8395852</v>
          </cell>
          <cell r="G762">
            <v>13391338</v>
          </cell>
          <cell r="H762">
            <v>18778850</v>
          </cell>
        </row>
        <row r="763">
          <cell r="A763" t="str">
            <v>3780/37</v>
          </cell>
          <cell r="B763" t="str">
            <v>Otokorkuluk takozu (L=780 mm.) yapılması (Ral-Rg 620)</v>
          </cell>
          <cell r="C763" t="str">
            <v>AD</v>
          </cell>
          <cell r="E763">
            <v>4738177</v>
          </cell>
          <cell r="F763">
            <v>6264847</v>
          </cell>
          <cell r="G763">
            <v>10002513</v>
          </cell>
          <cell r="H763">
            <v>14015965</v>
          </cell>
        </row>
        <row r="764">
          <cell r="A764" t="str">
            <v>3780/38</v>
          </cell>
          <cell r="B764" t="str">
            <v>Otokorkuluk gergi kuşağı yapılması (Ral-Rg 620)</v>
          </cell>
          <cell r="C764" t="str">
            <v>MT</v>
          </cell>
          <cell r="E764">
            <v>1869167</v>
          </cell>
          <cell r="F764">
            <v>2469872</v>
          </cell>
          <cell r="G764">
            <v>3944798</v>
          </cell>
          <cell r="H764">
            <v>5530007</v>
          </cell>
        </row>
        <row r="765">
          <cell r="A765" t="str">
            <v>3780/39</v>
          </cell>
          <cell r="B765" t="str">
            <v>Otokorkuluk uç parçası yapılması (Ral-Rg 620)</v>
          </cell>
          <cell r="C765" t="str">
            <v>AD</v>
          </cell>
          <cell r="E765">
            <v>6792622</v>
          </cell>
          <cell r="F765">
            <v>8958520</v>
          </cell>
          <cell r="G765">
            <v>14337223</v>
          </cell>
          <cell r="H765">
            <v>20084995</v>
          </cell>
        </row>
        <row r="766">
          <cell r="A766" t="str">
            <v>3780/4</v>
          </cell>
          <cell r="B766" t="str">
            <v>Otokorkuluk başlık parçası yapılması</v>
          </cell>
          <cell r="C766" t="str">
            <v>AD</v>
          </cell>
          <cell r="E766">
            <v>14162342</v>
          </cell>
          <cell r="F766">
            <v>18751522</v>
          </cell>
          <cell r="G766">
            <v>29522795</v>
          </cell>
          <cell r="H766">
            <v>41291840</v>
          </cell>
        </row>
        <row r="767">
          <cell r="A767" t="str">
            <v>3780/40</v>
          </cell>
          <cell r="B767" t="str">
            <v>Otokorkuluk genleşme eki (0-80 mm.) yapılması (Ral-Rg 620) (Normal raydan ve gergi kuşağından fark olarak)</v>
          </cell>
          <cell r="C767" t="str">
            <v>AD</v>
          </cell>
          <cell r="E767">
            <v>2039452</v>
          </cell>
          <cell r="F767">
            <v>2675376</v>
          </cell>
          <cell r="G767">
            <v>4328558</v>
          </cell>
          <cell r="H767">
            <v>6044053</v>
          </cell>
        </row>
        <row r="768">
          <cell r="A768" t="str">
            <v>3780/41</v>
          </cell>
          <cell r="B768" t="str">
            <v>Otokorkuluk genleşme eki (80-160 mm.) yapılması (Ral-Rg 620) (Normal raydan ve gergi kuşağından fark olarak)</v>
          </cell>
          <cell r="C768" t="str">
            <v>AD</v>
          </cell>
          <cell r="E768">
            <v>12037677</v>
          </cell>
          <cell r="F768">
            <v>15811538</v>
          </cell>
          <cell r="G768">
            <v>25519512</v>
          </cell>
          <cell r="H768">
            <v>35659061</v>
          </cell>
        </row>
        <row r="769">
          <cell r="A769" t="str">
            <v>3780/42</v>
          </cell>
          <cell r="B769" t="str">
            <v>Köprü koruyucu otokorkuluğu dikmesi yapılması (Sigma profilden) (Plakalar ve ankraj dahil) (Ral-Rg 620)</v>
          </cell>
          <cell r="C769" t="str">
            <v>AD</v>
          </cell>
          <cell r="E769">
            <v>6680213</v>
          </cell>
          <cell r="F769">
            <v>8837163</v>
          </cell>
          <cell r="G769">
            <v>14136827</v>
          </cell>
          <cell r="H769">
            <v>19805300</v>
          </cell>
        </row>
        <row r="770">
          <cell r="A770" t="str">
            <v>3780/43</v>
          </cell>
          <cell r="B770" t="str">
            <v>Köprü koruyucu otokorkuluğu dikmesi yapılması (Ipe 100 profilden) (Plaka ve ankraj dahil) (Ral-Rg 620)</v>
          </cell>
          <cell r="C770" t="str">
            <v>AD</v>
          </cell>
          <cell r="E770">
            <v>5176903</v>
          </cell>
          <cell r="F770">
            <v>6879756</v>
          </cell>
          <cell r="G770">
            <v>10996540</v>
          </cell>
          <cell r="H770">
            <v>15398910</v>
          </cell>
        </row>
        <row r="771">
          <cell r="A771" t="str">
            <v>3780/44</v>
          </cell>
          <cell r="B771" t="str">
            <v>Otokorkuluk rayı montajı (Ral-Rg 620)</v>
          </cell>
          <cell r="C771" t="str">
            <v>MT</v>
          </cell>
          <cell r="E771">
            <v>1339557</v>
          </cell>
          <cell r="F771">
            <v>1789468</v>
          </cell>
          <cell r="G771">
            <v>2927142</v>
          </cell>
          <cell r="H771">
            <v>4070003</v>
          </cell>
        </row>
        <row r="772">
          <cell r="A772" t="str">
            <v>3780/44-S</v>
          </cell>
          <cell r="B772" t="str">
            <v>Otokorkuluk rayı sökülmesi</v>
          </cell>
          <cell r="C772" t="str">
            <v>MT</v>
          </cell>
          <cell r="E772">
            <v>1601426</v>
          </cell>
          <cell r="F772">
            <v>2139200</v>
          </cell>
          <cell r="G772">
            <v>3500096</v>
          </cell>
          <cell r="H772">
            <v>4886278</v>
          </cell>
        </row>
        <row r="773">
          <cell r="A773" t="str">
            <v>3780/45</v>
          </cell>
          <cell r="B773" t="str">
            <v>Otokorkuluk dikmesi montajı (Ral-Rg 620) (Sigma veya Ipe 100 profilden)</v>
          </cell>
          <cell r="C773" t="str">
            <v>AD</v>
          </cell>
          <cell r="E773">
            <v>2780496</v>
          </cell>
          <cell r="F773">
            <v>3715875</v>
          </cell>
          <cell r="G773">
            <v>6063660</v>
          </cell>
          <cell r="H773">
            <v>8437382</v>
          </cell>
        </row>
        <row r="774">
          <cell r="A774" t="str">
            <v>3780/45-S</v>
          </cell>
          <cell r="B774" t="str">
            <v>Otokorkuluk dikmesi sökülmesi (Sigma veya Ipe 100 profilden)</v>
          </cell>
          <cell r="C774" t="str">
            <v>AD</v>
          </cell>
          <cell r="E774">
            <v>3108163</v>
          </cell>
          <cell r="F774">
            <v>4154481</v>
          </cell>
          <cell r="G774">
            <v>6772488</v>
          </cell>
          <cell r="H774">
            <v>9426657</v>
          </cell>
        </row>
        <row r="775">
          <cell r="A775" t="str">
            <v>3780/46</v>
          </cell>
          <cell r="B775" t="str">
            <v>Otokorkuluk "u" takozu (Bağlantı plakası dahil) montajı (Ral-Rg 620)</v>
          </cell>
          <cell r="C775" t="str">
            <v>AD</v>
          </cell>
          <cell r="E775">
            <v>568398</v>
          </cell>
          <cell r="F775">
            <v>757796</v>
          </cell>
          <cell r="G775">
            <v>1254196</v>
          </cell>
          <cell r="H775">
            <v>1737626</v>
          </cell>
        </row>
        <row r="776">
          <cell r="A776" t="str">
            <v>3780/46-S</v>
          </cell>
          <cell r="B776" t="str">
            <v>Otokorkuluk "U" takozu (Bağlantı plakası dahil) sökülmesi</v>
          </cell>
          <cell r="C776" t="str">
            <v>AD</v>
          </cell>
          <cell r="E776">
            <v>776017</v>
          </cell>
          <cell r="F776">
            <v>1034252</v>
          </cell>
          <cell r="G776">
            <v>1715112</v>
          </cell>
          <cell r="H776">
            <v>2374777</v>
          </cell>
        </row>
        <row r="777">
          <cell r="A777" t="str">
            <v>3780/47</v>
          </cell>
          <cell r="B777" t="str">
            <v>Otokorkuluk takozu (L=480 mm.) ve ara bağlantı parçasının (Bağlantı plakası dahil) montajı (Ral-Rg 620)</v>
          </cell>
          <cell r="C777" t="str">
            <v>AD</v>
          </cell>
          <cell r="E777">
            <v>1005197</v>
          </cell>
          <cell r="F777">
            <v>1337843</v>
          </cell>
          <cell r="G777">
            <v>2236642</v>
          </cell>
          <cell r="H777">
            <v>3089253</v>
          </cell>
        </row>
        <row r="778">
          <cell r="A778" t="str">
            <v>3780/47-S</v>
          </cell>
          <cell r="B778" t="str">
            <v>Otokorkuluk takozu (L=480 mm.) ve ara bağlantı parçasının (Bağlantı plakası dahil) sökülmesi</v>
          </cell>
          <cell r="C778" t="str">
            <v>AD</v>
          </cell>
          <cell r="E778">
            <v>1212817</v>
          </cell>
          <cell r="F778">
            <v>1614300</v>
          </cell>
          <cell r="G778">
            <v>2697558</v>
          </cell>
          <cell r="H778">
            <v>3726403</v>
          </cell>
        </row>
        <row r="779">
          <cell r="A779" t="str">
            <v>3780/48</v>
          </cell>
          <cell r="B779" t="str">
            <v>Otokorkuluk takozu (L=780 mm.) ve ara bağlantı parçasının (Bağlantı plakası dahil) montajı (Ral-Rg 620)</v>
          </cell>
          <cell r="C779" t="str">
            <v>AD</v>
          </cell>
          <cell r="E779">
            <v>1507797</v>
          </cell>
          <cell r="F779">
            <v>2006765</v>
          </cell>
          <cell r="G779">
            <v>3354963</v>
          </cell>
          <cell r="H779">
            <v>4633880</v>
          </cell>
        </row>
        <row r="780">
          <cell r="A780" t="str">
            <v>3780/48-S</v>
          </cell>
          <cell r="B780" t="str">
            <v>Otokorkuluk takozu (L=780 mm.) ve ara bağlantı parçasının (Bağlantı plakası dahil) sökülmesi</v>
          </cell>
          <cell r="C780" t="str">
            <v>AD</v>
          </cell>
          <cell r="E780">
            <v>1715416</v>
          </cell>
          <cell r="F780">
            <v>2283221</v>
          </cell>
          <cell r="G780">
            <v>3815880</v>
          </cell>
          <cell r="H780">
            <v>5271031</v>
          </cell>
        </row>
        <row r="781">
          <cell r="A781" t="str">
            <v>3780/49</v>
          </cell>
          <cell r="B781" t="str">
            <v>Otokorkuluk takozu (L=780 mm.)(Bağlantı plakası dahil)montajı (Ral-Rg 620)</v>
          </cell>
          <cell r="C781" t="str">
            <v>AD</v>
          </cell>
          <cell r="E781">
            <v>1005197</v>
          </cell>
          <cell r="F781">
            <v>1337843</v>
          </cell>
          <cell r="G781">
            <v>2236642</v>
          </cell>
          <cell r="H781">
            <v>3089253</v>
          </cell>
        </row>
        <row r="782">
          <cell r="A782" t="str">
            <v>3780/49-S</v>
          </cell>
          <cell r="B782" t="str">
            <v>Otokorkuluk takozu (L=780 mm.) (Bağlantı plakası dahil) sökülmesi</v>
          </cell>
          <cell r="C782" t="str">
            <v>AD</v>
          </cell>
          <cell r="E782">
            <v>1212817</v>
          </cell>
          <cell r="F782">
            <v>1614300</v>
          </cell>
          <cell r="G782">
            <v>2697558</v>
          </cell>
          <cell r="H782">
            <v>3726403</v>
          </cell>
        </row>
        <row r="783">
          <cell r="A783" t="str">
            <v>3780/50</v>
          </cell>
          <cell r="B783" t="str">
            <v>Otokorkuluk gergi kuşağı montajı (Ral-Rg 620)</v>
          </cell>
          <cell r="C783" t="str">
            <v>MT</v>
          </cell>
          <cell r="E783">
            <v>669778</v>
          </cell>
          <cell r="F783">
            <v>894733</v>
          </cell>
          <cell r="G783">
            <v>1463571</v>
          </cell>
          <cell r="H783">
            <v>2035001</v>
          </cell>
        </row>
        <row r="784">
          <cell r="A784" t="str">
            <v>3780/50-S</v>
          </cell>
          <cell r="B784" t="str">
            <v>Otokorkuluk gergi kuşağı sökülmesi</v>
          </cell>
          <cell r="C784" t="str">
            <v>MT</v>
          </cell>
          <cell r="E784">
            <v>877397</v>
          </cell>
          <cell r="F784">
            <v>1171190</v>
          </cell>
          <cell r="G784">
            <v>1924487</v>
          </cell>
          <cell r="H784">
            <v>2672152</v>
          </cell>
        </row>
        <row r="785">
          <cell r="A785" t="str">
            <v>3780/51</v>
          </cell>
          <cell r="B785" t="str">
            <v>Otokorkuluk uç parçası montajı (Ral-Rg 620)</v>
          </cell>
          <cell r="C785" t="str">
            <v>AD</v>
          </cell>
          <cell r="E785">
            <v>1507797</v>
          </cell>
          <cell r="F785">
            <v>2006765</v>
          </cell>
          <cell r="G785">
            <v>3354963</v>
          </cell>
          <cell r="H785">
            <v>4633880</v>
          </cell>
        </row>
        <row r="786">
          <cell r="A786" t="str">
            <v>3780/51-S</v>
          </cell>
          <cell r="B786" t="str">
            <v>Otokorkuluk uç parçası sökülmesi</v>
          </cell>
          <cell r="C786" t="str">
            <v>AD</v>
          </cell>
          <cell r="E786">
            <v>1715416</v>
          </cell>
          <cell r="F786">
            <v>2283221</v>
          </cell>
          <cell r="G786">
            <v>3815880</v>
          </cell>
          <cell r="H786">
            <v>5271031</v>
          </cell>
        </row>
        <row r="787">
          <cell r="A787" t="str">
            <v>3780/52</v>
          </cell>
          <cell r="B787" t="str">
            <v>Otokorkuluk genleşme eki (0-80 mm.) montajı (Ral-Rg 620)</v>
          </cell>
          <cell r="C787" t="str">
            <v>AD</v>
          </cell>
          <cell r="E787">
            <v>937690</v>
          </cell>
          <cell r="F787">
            <v>1252627</v>
          </cell>
          <cell r="G787">
            <v>2049000</v>
          </cell>
          <cell r="H787">
            <v>2849002</v>
          </cell>
        </row>
        <row r="788">
          <cell r="A788" t="str">
            <v>3780/52-S</v>
          </cell>
          <cell r="B788" t="str">
            <v>Otokorkuluk genleşme eki (0-80 mm.) sökülmesi</v>
          </cell>
          <cell r="C788" t="str">
            <v>AD</v>
          </cell>
          <cell r="E788">
            <v>1132148</v>
          </cell>
          <cell r="F788">
            <v>1511308</v>
          </cell>
          <cell r="G788">
            <v>2482740</v>
          </cell>
          <cell r="H788">
            <v>3447552</v>
          </cell>
        </row>
        <row r="789">
          <cell r="A789" t="str">
            <v>3780/53</v>
          </cell>
          <cell r="B789" t="str">
            <v>Otokorkuluk genleşme eki (80-160 mm.) montajı (Ral-Rg 620)</v>
          </cell>
          <cell r="C789" t="str">
            <v>AD</v>
          </cell>
          <cell r="E789">
            <v>1875381</v>
          </cell>
          <cell r="F789">
            <v>2505256</v>
          </cell>
          <cell r="G789">
            <v>4098000</v>
          </cell>
          <cell r="H789">
            <v>5698005</v>
          </cell>
        </row>
        <row r="790">
          <cell r="A790" t="str">
            <v>3780/53-S</v>
          </cell>
          <cell r="B790" t="str">
            <v>Otokorkuluk genleşme eki (80-160 mm.) sökülmesi</v>
          </cell>
          <cell r="C790" t="str">
            <v>AD</v>
          </cell>
          <cell r="E790">
            <v>2089581</v>
          </cell>
          <cell r="F790">
            <v>2790600</v>
          </cell>
          <cell r="G790">
            <v>4572503</v>
          </cell>
          <cell r="H790">
            <v>6354455</v>
          </cell>
        </row>
        <row r="791">
          <cell r="A791" t="str">
            <v>3780/54</v>
          </cell>
          <cell r="B791" t="str">
            <v>Köprü koruyucu otokorkuluğu dikmesi montajı (Ral-Rg 620) (Sigma veya Ipe 100 profilden)</v>
          </cell>
          <cell r="C791" t="str">
            <v>AD</v>
          </cell>
          <cell r="E791">
            <v>2424517</v>
          </cell>
          <cell r="F791">
            <v>3254968</v>
          </cell>
          <cell r="G791">
            <v>5167892</v>
          </cell>
          <cell r="H791">
            <v>7252503</v>
          </cell>
        </row>
        <row r="792">
          <cell r="A792" t="str">
            <v>3780/54-S</v>
          </cell>
          <cell r="B792" t="str">
            <v>Köprü koruyucu otokorkuluğu dikmesi sökülmesi (Sigma veya Ipe 100 profilden)</v>
          </cell>
          <cell r="C792" t="str">
            <v>AD</v>
          </cell>
          <cell r="E792">
            <v>2948253</v>
          </cell>
          <cell r="F792">
            <v>3954431</v>
          </cell>
          <cell r="G792">
            <v>6313800</v>
          </cell>
          <cell r="H792">
            <v>8845055</v>
          </cell>
        </row>
        <row r="793">
          <cell r="A793" t="str">
            <v>3780/55</v>
          </cell>
          <cell r="B793" t="str">
            <v>Otokorkuluk başlık parçası yapılması (Ral-Rg 620)</v>
          </cell>
          <cell r="C793" t="str">
            <v>AD</v>
          </cell>
          <cell r="E793">
            <v>16050637</v>
          </cell>
          <cell r="F793">
            <v>21148897</v>
          </cell>
          <cell r="G793">
            <v>33920962</v>
          </cell>
          <cell r="H793">
            <v>47485180</v>
          </cell>
        </row>
        <row r="794">
          <cell r="A794" t="str">
            <v>3780/56</v>
          </cell>
          <cell r="B794" t="str">
            <v>Otokorkuluk başlık parçası montajı (Ral-Rg 620)</v>
          </cell>
          <cell r="C794" t="str">
            <v>AD</v>
          </cell>
          <cell r="E794">
            <v>3677896</v>
          </cell>
          <cell r="F794">
            <v>4918047</v>
          </cell>
          <cell r="G794">
            <v>7997232</v>
          </cell>
          <cell r="H794">
            <v>11140008</v>
          </cell>
        </row>
        <row r="795">
          <cell r="A795" t="str">
            <v>3780/56-S</v>
          </cell>
          <cell r="B795" t="str">
            <v>Otokorkuluk başlık parçası sökülmesi</v>
          </cell>
          <cell r="C795" t="str">
            <v>AD</v>
          </cell>
          <cell r="E795">
            <v>4085807</v>
          </cell>
          <cell r="F795">
            <v>5463050</v>
          </cell>
          <cell r="G795">
            <v>8887850</v>
          </cell>
          <cell r="H795">
            <v>12378735</v>
          </cell>
        </row>
        <row r="796">
          <cell r="A796" t="str">
            <v>3780/8</v>
          </cell>
          <cell r="B796" t="str">
            <v>Otokorkuluk başlık parçası montajı</v>
          </cell>
          <cell r="C796" t="str">
            <v>AD</v>
          </cell>
          <cell r="E796">
            <v>3677896</v>
          </cell>
          <cell r="F796">
            <v>4918047</v>
          </cell>
          <cell r="G796">
            <v>7997232</v>
          </cell>
          <cell r="H796">
            <v>11140008</v>
          </cell>
        </row>
        <row r="797">
          <cell r="A797" t="str">
            <v>3783</v>
          </cell>
          <cell r="B797" t="str">
            <v>Profilli demirden kazık ve keson işçiliği (Boyama hariç)</v>
          </cell>
          <cell r="C797" t="str">
            <v>TN</v>
          </cell>
          <cell r="E797">
            <v>192683125</v>
          </cell>
          <cell r="F797">
            <v>262950000</v>
          </cell>
          <cell r="G797">
            <v>419750000</v>
          </cell>
          <cell r="H797">
            <v>585593750</v>
          </cell>
        </row>
        <row r="798">
          <cell r="A798" t="str">
            <v>3792</v>
          </cell>
          <cell r="B798" t="str">
            <v>Yüksek dayanımlı öngerme çeliği temini</v>
          </cell>
          <cell r="C798" t="str">
            <v>TN</v>
          </cell>
          <cell r="E798">
            <v>450000000</v>
          </cell>
          <cell r="F798">
            <v>512500000</v>
          </cell>
          <cell r="G798">
            <v>925000000</v>
          </cell>
          <cell r="H798">
            <v>1250000000</v>
          </cell>
        </row>
        <row r="799">
          <cell r="A799" t="str">
            <v>3793</v>
          </cell>
          <cell r="B799" t="str">
            <v>Kılıf borusu temini</v>
          </cell>
          <cell r="C799" t="str">
            <v>MT</v>
          </cell>
          <cell r="E799">
            <v>437500</v>
          </cell>
          <cell r="F799">
            <v>456250</v>
          </cell>
          <cell r="G799">
            <v>750000</v>
          </cell>
          <cell r="H799">
            <v>1125000</v>
          </cell>
        </row>
        <row r="800">
          <cell r="A800" t="str">
            <v>3794</v>
          </cell>
          <cell r="B800" t="str">
            <v>Ankraj konu temini</v>
          </cell>
          <cell r="C800" t="str">
            <v>AD</v>
          </cell>
          <cell r="E800">
            <v>3900000</v>
          </cell>
          <cell r="F800">
            <v>5000000</v>
          </cell>
          <cell r="G800">
            <v>8250000</v>
          </cell>
          <cell r="H800">
            <v>11550000</v>
          </cell>
        </row>
        <row r="801">
          <cell r="A801" t="str">
            <v>3800</v>
          </cell>
          <cell r="B801" t="str">
            <v>Pirinç boru</v>
          </cell>
          <cell r="C801" t="str">
            <v>KG</v>
          </cell>
          <cell r="E801">
            <v>1875002</v>
          </cell>
          <cell r="F801">
            <v>2500002</v>
          </cell>
          <cell r="G801">
            <v>4750002</v>
          </cell>
          <cell r="H801">
            <v>6250002</v>
          </cell>
        </row>
        <row r="802">
          <cell r="A802" t="str">
            <v>3805</v>
          </cell>
          <cell r="B802" t="str">
            <v>Neopren (Lastik) mesnet tertibatı (İçi çelik fretli)</v>
          </cell>
          <cell r="C802" t="str">
            <v>D3</v>
          </cell>
          <cell r="E802">
            <v>7038040</v>
          </cell>
          <cell r="F802">
            <v>10135750</v>
          </cell>
          <cell r="G802">
            <v>20207625</v>
          </cell>
          <cell r="H802">
            <v>27794875</v>
          </cell>
        </row>
        <row r="803">
          <cell r="A803" t="str">
            <v>3820</v>
          </cell>
          <cell r="B803" t="str">
            <v>3 cm. kalınlıkta muhafaza betonu yapılması</v>
          </cell>
          <cell r="C803" t="str">
            <v>M2</v>
          </cell>
          <cell r="E803">
            <v>800416</v>
          </cell>
          <cell r="F803">
            <v>1080966</v>
          </cell>
          <cell r="G803">
            <v>1652875</v>
          </cell>
          <cell r="H803">
            <v>2347661</v>
          </cell>
        </row>
        <row r="804">
          <cell r="A804" t="str">
            <v>3821</v>
          </cell>
          <cell r="B804" t="str">
            <v>4 cm. kalınlıkta muhafaza betonu yapılması</v>
          </cell>
          <cell r="C804" t="str">
            <v>M2</v>
          </cell>
          <cell r="E804">
            <v>875658</v>
          </cell>
          <cell r="F804">
            <v>1182595</v>
          </cell>
          <cell r="G804">
            <v>1808247</v>
          </cell>
          <cell r="H804">
            <v>2568356</v>
          </cell>
        </row>
        <row r="805">
          <cell r="A805" t="str">
            <v>3822</v>
          </cell>
          <cell r="B805" t="str">
            <v>5 cm. kalınlıkta muhafaza betonu yapılması</v>
          </cell>
          <cell r="C805" t="str">
            <v>M2</v>
          </cell>
          <cell r="E805">
            <v>950901</v>
          </cell>
          <cell r="F805">
            <v>1284223</v>
          </cell>
          <cell r="G805">
            <v>1963621</v>
          </cell>
          <cell r="H805">
            <v>2789052</v>
          </cell>
        </row>
        <row r="806">
          <cell r="A806" t="str">
            <v>3950</v>
          </cell>
          <cell r="B806" t="str">
            <v>1000 kg.dan 3000 kg.a kadar tahkimat beton bloklarının yerine yerleştirilmesi</v>
          </cell>
          <cell r="C806" t="str">
            <v>M3</v>
          </cell>
          <cell r="E806">
            <v>701480</v>
          </cell>
          <cell r="F806">
            <v>916421</v>
          </cell>
          <cell r="G806">
            <v>1687896</v>
          </cell>
          <cell r="H806">
            <v>2313805</v>
          </cell>
        </row>
        <row r="807">
          <cell r="A807" t="str">
            <v>3955</v>
          </cell>
          <cell r="B807" t="str">
            <v>3000 kg.dan 6000 kg.a kadar tahkimat beton bloklarının yerine yerleştirilmesi</v>
          </cell>
          <cell r="C807" t="str">
            <v>M3</v>
          </cell>
          <cell r="E807">
            <v>841776</v>
          </cell>
          <cell r="F807">
            <v>1099705</v>
          </cell>
          <cell r="G807">
            <v>2025476</v>
          </cell>
          <cell r="H807">
            <v>2776566</v>
          </cell>
        </row>
        <row r="808">
          <cell r="A808" t="str">
            <v>3960</v>
          </cell>
          <cell r="B808" t="str">
            <v>6000 kg.dan 12000 kg.a kadar tahkimat beton bloklarının yerine yerleştirilmesi</v>
          </cell>
          <cell r="C808" t="str">
            <v>M3</v>
          </cell>
          <cell r="E808">
            <v>1234606</v>
          </cell>
          <cell r="F808">
            <v>1612901</v>
          </cell>
          <cell r="G808">
            <v>2970697</v>
          </cell>
          <cell r="H808">
            <v>4072297</v>
          </cell>
        </row>
        <row r="809">
          <cell r="A809" t="str">
            <v>3965</v>
          </cell>
          <cell r="B809" t="str">
            <v>Tahkimat için her boyutta beton blok yapılması</v>
          </cell>
          <cell r="C809" t="str">
            <v>M3</v>
          </cell>
          <cell r="E809">
            <v>12280963</v>
          </cell>
          <cell r="F809">
            <v>16571841</v>
          </cell>
          <cell r="G809">
            <v>25477782</v>
          </cell>
          <cell r="H809">
            <v>36149158</v>
          </cell>
        </row>
        <row r="810">
          <cell r="A810" t="str">
            <v>3980</v>
          </cell>
          <cell r="B810" t="str">
            <v>Sınır taşı hazırlanması ve yerine konulması</v>
          </cell>
          <cell r="C810" t="str">
            <v>AD</v>
          </cell>
          <cell r="E810">
            <v>1789841</v>
          </cell>
          <cell r="F810">
            <v>2341561</v>
          </cell>
          <cell r="G810">
            <v>4083706</v>
          </cell>
          <cell r="H810">
            <v>5501247</v>
          </cell>
        </row>
        <row r="811">
          <cell r="A811" t="str">
            <v>3985</v>
          </cell>
          <cell r="B811" t="str">
            <v>Kenar taşı hazırlanması ve yerine konulması</v>
          </cell>
          <cell r="C811" t="str">
            <v>AD</v>
          </cell>
          <cell r="E811">
            <v>2386455</v>
          </cell>
          <cell r="F811">
            <v>3122082</v>
          </cell>
          <cell r="G811">
            <v>5444942</v>
          </cell>
          <cell r="H811">
            <v>7334997</v>
          </cell>
        </row>
        <row r="812">
          <cell r="A812" t="str">
            <v>3985/2A</v>
          </cell>
          <cell r="B812" t="str">
            <v>CTP yol kenar dikmesinin temini ve yol boyuna dikilmesi</v>
          </cell>
          <cell r="C812" t="str">
            <v>AD</v>
          </cell>
          <cell r="E812">
            <v>4365067</v>
          </cell>
          <cell r="F812">
            <v>5036498</v>
          </cell>
          <cell r="G812">
            <v>8688551</v>
          </cell>
          <cell r="H812">
            <v>12084220</v>
          </cell>
        </row>
        <row r="813">
          <cell r="A813" t="str">
            <v>40.130</v>
          </cell>
          <cell r="B813" t="str">
            <v>Asfalt kazıma makinesi ile her cins bitümlü karışım kaplamaların kazılması</v>
          </cell>
          <cell r="C813" t="str">
            <v>M3</v>
          </cell>
          <cell r="E813">
            <v>8128808</v>
          </cell>
          <cell r="F813">
            <v>10811336</v>
          </cell>
          <cell r="G813">
            <v>18467626</v>
          </cell>
          <cell r="H813">
            <v>24201312</v>
          </cell>
        </row>
        <row r="814">
          <cell r="A814" t="str">
            <v>4000</v>
          </cell>
          <cell r="B814" t="str">
            <v>Trafik standart 90 cm.üçgen kenarlı T ve Y levhası yapılması</v>
          </cell>
          <cell r="C814" t="str">
            <v>AD</v>
          </cell>
          <cell r="E814">
            <v>2504806</v>
          </cell>
          <cell r="F814">
            <v>2887443</v>
          </cell>
          <cell r="G814">
            <v>5358337</v>
          </cell>
          <cell r="H814">
            <v>7257243</v>
          </cell>
        </row>
        <row r="815">
          <cell r="A815" t="str">
            <v>4002</v>
          </cell>
          <cell r="B815" t="str">
            <v>Trafik standart yuvarlak 60 cm.çaplı B ve Y levhası yapılması</v>
          </cell>
          <cell r="C815" t="str">
            <v>AD</v>
          </cell>
          <cell r="E815">
            <v>2661896</v>
          </cell>
          <cell r="F815">
            <v>3104495</v>
          </cell>
          <cell r="G815">
            <v>5680955</v>
          </cell>
          <cell r="H815">
            <v>7718905</v>
          </cell>
        </row>
        <row r="816">
          <cell r="A816" t="str">
            <v>4003</v>
          </cell>
          <cell r="B816" t="str">
            <v>Trafik standart dikdörtgen (60 X 60 cm.) B levhası yapılması</v>
          </cell>
          <cell r="C816" t="str">
            <v>AD</v>
          </cell>
          <cell r="E816">
            <v>1876692</v>
          </cell>
          <cell r="F816">
            <v>2019490</v>
          </cell>
          <cell r="G816">
            <v>4068410</v>
          </cell>
          <cell r="H816">
            <v>5411310</v>
          </cell>
        </row>
        <row r="817">
          <cell r="A817" t="str">
            <v>4004</v>
          </cell>
          <cell r="B817" t="str">
            <v>Trafik yol engel işareti levhası yapılması (20 X 200 cm.)</v>
          </cell>
          <cell r="C817" t="str">
            <v>AD</v>
          </cell>
          <cell r="E817">
            <v>1411688</v>
          </cell>
          <cell r="F817">
            <v>1592692</v>
          </cell>
          <cell r="G817">
            <v>3018732</v>
          </cell>
          <cell r="H817">
            <v>4052407</v>
          </cell>
        </row>
        <row r="818">
          <cell r="A818" t="str">
            <v>4005</v>
          </cell>
          <cell r="B818" t="str">
            <v>Trafik çavuş levhası yapılması (30 X 150 cm.)</v>
          </cell>
          <cell r="C818" t="str">
            <v>AD</v>
          </cell>
          <cell r="E818">
            <v>1261420</v>
          </cell>
          <cell r="F818">
            <v>1366380</v>
          </cell>
          <cell r="G818">
            <v>2731232</v>
          </cell>
          <cell r="H818">
            <v>3638845</v>
          </cell>
        </row>
        <row r="819">
          <cell r="A819" t="str">
            <v>4010</v>
          </cell>
          <cell r="B819" t="str">
            <v>Trafik standart işaret levha direği yapılması (Siyah sactan)</v>
          </cell>
          <cell r="C819" t="str">
            <v>MT</v>
          </cell>
          <cell r="E819">
            <v>2989725</v>
          </cell>
          <cell r="F819">
            <v>3644506</v>
          </cell>
          <cell r="G819">
            <v>6415322</v>
          </cell>
          <cell r="H819">
            <v>8789160</v>
          </cell>
        </row>
        <row r="820">
          <cell r="A820" t="str">
            <v>4012</v>
          </cell>
          <cell r="B820" t="str">
            <v>Trafik emniyet klavuzu ayağı yapılması</v>
          </cell>
          <cell r="C820" t="str">
            <v>AD</v>
          </cell>
          <cell r="E820">
            <v>2224650</v>
          </cell>
          <cell r="F820">
            <v>2560643</v>
          </cell>
          <cell r="G820">
            <v>4690845</v>
          </cell>
          <cell r="H820">
            <v>6290356</v>
          </cell>
        </row>
        <row r="821">
          <cell r="A821" t="str">
            <v>4019</v>
          </cell>
          <cell r="B821" t="str">
            <v>Trafik işaret levhası boyanması (Yasak, tahdit ve bilgi levhaları)</v>
          </cell>
          <cell r="C821" t="str">
            <v>M2</v>
          </cell>
          <cell r="E821">
            <v>3147160</v>
          </cell>
          <cell r="F821">
            <v>3944750</v>
          </cell>
          <cell r="G821">
            <v>7231500</v>
          </cell>
          <cell r="H821">
            <v>8983750</v>
          </cell>
        </row>
        <row r="822">
          <cell r="A822" t="str">
            <v>4020</v>
          </cell>
          <cell r="B822" t="str">
            <v>Standart trafik işaret levhalarına sembol, bordür ve yazı yazılması</v>
          </cell>
          <cell r="C822" t="str">
            <v>M2</v>
          </cell>
          <cell r="E822">
            <v>733827</v>
          </cell>
          <cell r="F822">
            <v>928875</v>
          </cell>
          <cell r="G822">
            <v>1606625</v>
          </cell>
          <cell r="H822">
            <v>2063312</v>
          </cell>
        </row>
        <row r="823">
          <cell r="A823" t="str">
            <v>4035</v>
          </cell>
          <cell r="B823" t="str">
            <v>Standart trafik levhaları (šçgen, yuvarlak, dörtgen) engel işaretleri ve engel işaretlerinin ayaklarının bakımının yapılması</v>
          </cell>
          <cell r="C823" t="str">
            <v>AD</v>
          </cell>
          <cell r="E823">
            <v>253205</v>
          </cell>
          <cell r="F823">
            <v>341975</v>
          </cell>
          <cell r="G823">
            <v>522856</v>
          </cell>
          <cell r="H823">
            <v>742650</v>
          </cell>
        </row>
        <row r="824">
          <cell r="A824" t="str">
            <v>4230</v>
          </cell>
          <cell r="B824" t="str">
            <v>Bitümlü temel ve satıh tabakalarında kalıp</v>
          </cell>
          <cell r="C824" t="str">
            <v>MT</v>
          </cell>
          <cell r="E824">
            <v>54955</v>
          </cell>
          <cell r="F824">
            <v>70903</v>
          </cell>
          <cell r="G824">
            <v>116437</v>
          </cell>
          <cell r="H824">
            <v>157125</v>
          </cell>
        </row>
        <row r="825">
          <cell r="A825" t="str">
            <v>4231</v>
          </cell>
          <cell r="B825" t="str">
            <v>Ocak taşından konkasörle kırılmış ve elenmiş 100 mm.(4") lik agrega hazırlanması</v>
          </cell>
          <cell r="C825" t="str">
            <v>M3</v>
          </cell>
          <cell r="E825">
            <v>4323248</v>
          </cell>
          <cell r="F825">
            <v>5770645</v>
          </cell>
          <cell r="G825">
            <v>9421935</v>
          </cell>
          <cell r="H825">
            <v>13154203</v>
          </cell>
        </row>
        <row r="826">
          <cell r="A826" t="str">
            <v>4232</v>
          </cell>
          <cell r="B826" t="str">
            <v>Kazı taşından konkasörle kırılmış ve elenmiş 100 mm.(4") lik agrega hazırlanması</v>
          </cell>
          <cell r="C826" t="str">
            <v>M3</v>
          </cell>
          <cell r="E826">
            <v>2832388</v>
          </cell>
          <cell r="F826">
            <v>3797517</v>
          </cell>
          <cell r="G826">
            <v>6043363</v>
          </cell>
          <cell r="H826">
            <v>8509775</v>
          </cell>
        </row>
        <row r="827">
          <cell r="A827" t="str">
            <v>4233</v>
          </cell>
          <cell r="B827" t="str">
            <v>Elenmemiş çakıllı malzemeden konkasörle kırılmış ve elenmiş 100 mm.(4") lik agrega hazırlanması</v>
          </cell>
          <cell r="C827" t="str">
            <v>M3</v>
          </cell>
          <cell r="E827">
            <v>927896</v>
          </cell>
          <cell r="F827">
            <v>1209727</v>
          </cell>
          <cell r="G827">
            <v>2135480</v>
          </cell>
          <cell r="H827">
            <v>2913408</v>
          </cell>
        </row>
        <row r="828">
          <cell r="A828" t="str">
            <v>4234</v>
          </cell>
          <cell r="B828" t="str">
            <v>Elenmiş çakıldan konkasörle kırılmış ve elenmiş 100 mm.(4") lik agrega hazırlanması</v>
          </cell>
          <cell r="C828" t="str">
            <v>M3</v>
          </cell>
          <cell r="E828">
            <v>1480841</v>
          </cell>
          <cell r="F828">
            <v>1933948</v>
          </cell>
          <cell r="G828">
            <v>3447397</v>
          </cell>
          <cell r="H828">
            <v>4733105</v>
          </cell>
        </row>
        <row r="829">
          <cell r="A829" t="str">
            <v>4236</v>
          </cell>
          <cell r="B829" t="str">
            <v>Ocak taşından konkasörle kırılmış ve elenmiş 75 mm.(3") lik agrega hazırlanması</v>
          </cell>
          <cell r="C829" t="str">
            <v>M3</v>
          </cell>
          <cell r="E829">
            <v>4453286</v>
          </cell>
          <cell r="F829">
            <v>5941845</v>
          </cell>
          <cell r="G829">
            <v>9724496</v>
          </cell>
          <cell r="H829">
            <v>13572661</v>
          </cell>
        </row>
        <row r="830">
          <cell r="A830" t="str">
            <v>4237</v>
          </cell>
          <cell r="B830" t="str">
            <v>Kazı taşından konkasörle kırılmış ve elenmiş 75 mm.(3") lik agrega hazırlanması</v>
          </cell>
          <cell r="C830" t="str">
            <v>M3</v>
          </cell>
          <cell r="E830">
            <v>2962426</v>
          </cell>
          <cell r="F830">
            <v>3968717</v>
          </cell>
          <cell r="G830">
            <v>6345925</v>
          </cell>
          <cell r="H830">
            <v>8928232</v>
          </cell>
        </row>
        <row r="831">
          <cell r="A831" t="str">
            <v>4238</v>
          </cell>
          <cell r="B831" t="str">
            <v>Elenmemiş çakıllı malzemeden konkasörle kırılmış ve elenmiş 75 mm.(3") lik agrega hazırlanması</v>
          </cell>
          <cell r="C831" t="str">
            <v>M3</v>
          </cell>
          <cell r="E831">
            <v>1057932</v>
          </cell>
          <cell r="F831">
            <v>1380927</v>
          </cell>
          <cell r="G831">
            <v>2438041</v>
          </cell>
          <cell r="H831">
            <v>3331865</v>
          </cell>
        </row>
        <row r="832">
          <cell r="A832" t="str">
            <v>4239</v>
          </cell>
          <cell r="B832" t="str">
            <v>Elenmiş çakıldan konkasörle kırılmış ve elenmiş 75 mm.(3") lik agrega hazırlanması</v>
          </cell>
          <cell r="C832" t="str">
            <v>M3</v>
          </cell>
          <cell r="E832">
            <v>1610878</v>
          </cell>
          <cell r="F832">
            <v>2105148</v>
          </cell>
          <cell r="G832">
            <v>3749958</v>
          </cell>
          <cell r="H832">
            <v>5151562</v>
          </cell>
        </row>
        <row r="833">
          <cell r="A833" t="str">
            <v>4241</v>
          </cell>
          <cell r="B833" t="str">
            <v>Ocak taşından konkasörle kırılmış ve elenmiş 63,5 mm.(2 "") lik agrega hazırlanması</v>
          </cell>
          <cell r="C833" t="str">
            <v>M3</v>
          </cell>
          <cell r="E833">
            <v>4713360</v>
          </cell>
          <cell r="F833">
            <v>6284245</v>
          </cell>
          <cell r="G833">
            <v>10329618</v>
          </cell>
          <cell r="H833">
            <v>14409573</v>
          </cell>
        </row>
        <row r="834">
          <cell r="A834" t="str">
            <v>4242</v>
          </cell>
          <cell r="B834" t="str">
            <v>Kazı taşından konkasörle kırılmış ve elenmiş 63,5 mm.(2 "") lik agrega hazırlanması</v>
          </cell>
          <cell r="C834" t="str">
            <v>M3</v>
          </cell>
          <cell r="E834">
            <v>3222500</v>
          </cell>
          <cell r="F834">
            <v>4311117</v>
          </cell>
          <cell r="G834">
            <v>6951047</v>
          </cell>
          <cell r="H834">
            <v>9765145</v>
          </cell>
        </row>
        <row r="835">
          <cell r="A835" t="str">
            <v>4243</v>
          </cell>
          <cell r="B835" t="str">
            <v>Elenmemiş çakıllı malzemeden konkasörle kırılmış ve elenmiş 63,5 mm.(2 "") lik agrega hazırlanması</v>
          </cell>
          <cell r="C835" t="str">
            <v>M3</v>
          </cell>
          <cell r="E835">
            <v>1187970</v>
          </cell>
          <cell r="F835">
            <v>1552127</v>
          </cell>
          <cell r="G835">
            <v>2740602</v>
          </cell>
          <cell r="H835">
            <v>3750322</v>
          </cell>
        </row>
        <row r="836">
          <cell r="A836" t="str">
            <v>4244</v>
          </cell>
          <cell r="B836" t="str">
            <v>Elenmiş çakıldan konkasörle kırılmış ve elenmiş 63,5 mm. (2 "") lik agrega hazırlanması</v>
          </cell>
          <cell r="C836" t="str">
            <v>M3</v>
          </cell>
          <cell r="E836">
            <v>1870952</v>
          </cell>
          <cell r="F836">
            <v>2447548</v>
          </cell>
          <cell r="G836">
            <v>4355081</v>
          </cell>
          <cell r="H836">
            <v>5988475</v>
          </cell>
        </row>
        <row r="837">
          <cell r="A837" t="str">
            <v>4246</v>
          </cell>
          <cell r="B837" t="str">
            <v>Ocak taşından konkasörle kırılmış ve elenmiş 50 mm.(2"), 44 mm.(1 ó"), 37,5 mm.(1 "") ve 31 mm.(1 ¬") lik agrega hazırlanması</v>
          </cell>
          <cell r="C837" t="str">
            <v>M3</v>
          </cell>
          <cell r="E837">
            <v>5115962</v>
          </cell>
          <cell r="F837">
            <v>6811198</v>
          </cell>
          <cell r="G837">
            <v>11285827</v>
          </cell>
          <cell r="H837">
            <v>15742142</v>
          </cell>
        </row>
        <row r="838">
          <cell r="A838" t="str">
            <v>4247</v>
          </cell>
          <cell r="B838" t="str">
            <v>Kazı taşından konkasörle kırılmış ve elenmiş 50 mm.(2"), 44 mm.(1 ó"), 37,5 mm.(1 "") ve 31 mm.(1 ¬") lik agrega hazırlanması</v>
          </cell>
          <cell r="C838" t="str">
            <v>M3</v>
          </cell>
          <cell r="E838">
            <v>3625102</v>
          </cell>
          <cell r="F838">
            <v>4838071</v>
          </cell>
          <cell r="G838">
            <v>7907256</v>
          </cell>
          <cell r="H838">
            <v>11097713</v>
          </cell>
        </row>
        <row r="839">
          <cell r="A839" t="str">
            <v>4247/1</v>
          </cell>
          <cell r="B839" t="str">
            <v>Toplama taştan konkasörle kırılmış ve elenmiş 50 mm.(2"), 44 mm.(1 ó"), 37,5 mm.(1 "") ve 31 mm.(1 ¬") lik agrega hazırlanması</v>
          </cell>
          <cell r="C839" t="str">
            <v>M3</v>
          </cell>
          <cell r="E839">
            <v>5207521</v>
          </cell>
          <cell r="F839">
            <v>6960070</v>
          </cell>
          <cell r="G839">
            <v>11188697</v>
          </cell>
          <cell r="H839">
            <v>15715341</v>
          </cell>
        </row>
        <row r="840">
          <cell r="A840" t="str">
            <v>4248</v>
          </cell>
          <cell r="B840" t="str">
            <v>Elenmemiş çakıllı malzemeden konkasörle kırılmış ve elenmiş 50 mm.(2"), 44 mm.(1 ó"), 37,5 mm.(1 "") ve 31 mm.(1 ¬") lik agrega hazırlanması</v>
          </cell>
          <cell r="C840" t="str">
            <v>M3</v>
          </cell>
          <cell r="E840">
            <v>1590572</v>
          </cell>
          <cell r="F840">
            <v>2079081</v>
          </cell>
          <cell r="G840">
            <v>3696811</v>
          </cell>
          <cell r="H840">
            <v>5082891</v>
          </cell>
        </row>
        <row r="841">
          <cell r="A841" t="str">
            <v>4249</v>
          </cell>
          <cell r="B841" t="str">
            <v>Elenmiş çakıldan konkasörle kırılmış ve elenmiş 50 mm.(2"), 44 mm.(1 ó"), 37,5 mm.(1 "") ve 31 mm.(1 ¬") lik agrega hazırlanması</v>
          </cell>
          <cell r="C841" t="str">
            <v>M3</v>
          </cell>
          <cell r="E841">
            <v>2273555</v>
          </cell>
          <cell r="F841">
            <v>2974502</v>
          </cell>
          <cell r="G841">
            <v>5311290</v>
          </cell>
          <cell r="H841">
            <v>7321043</v>
          </cell>
        </row>
        <row r="842">
          <cell r="A842" t="str">
            <v>4256</v>
          </cell>
          <cell r="B842" t="str">
            <v>Ocak taşından konkasörle kırılmış ve elenmiş 25 mm.(1") ve 19 mm.(3/4") lik agrega hazırlanması</v>
          </cell>
          <cell r="C842" t="str">
            <v>M3</v>
          </cell>
          <cell r="E842">
            <v>6009253</v>
          </cell>
          <cell r="F842">
            <v>7996227</v>
          </cell>
          <cell r="G842">
            <v>13289286</v>
          </cell>
          <cell r="H842">
            <v>18550668</v>
          </cell>
        </row>
        <row r="843">
          <cell r="A843" t="str">
            <v>4256/B</v>
          </cell>
          <cell r="B843" t="str">
            <v>Sert taştan konkasörle kırılmış ve elenmiş 25 mm.(1") ve 19 mm. (3/4")lik agrega hazırlanması</v>
          </cell>
          <cell r="C843" t="str">
            <v>TN</v>
          </cell>
          <cell r="D843">
            <v>38021.875</v>
          </cell>
          <cell r="E843">
            <v>4487241</v>
          </cell>
          <cell r="F843">
            <v>5960641</v>
          </cell>
          <cell r="G843">
            <v>10007712</v>
          </cell>
          <cell r="H843">
            <v>13947987</v>
          </cell>
        </row>
        <row r="844">
          <cell r="A844" t="str">
            <v>4257</v>
          </cell>
          <cell r="B844" t="str">
            <v>Kazı taşından konkasörle kırılmış ve elenmiş 25 mm.(1") ve 19 mm.(3/4") lik agrega hazırlanması</v>
          </cell>
          <cell r="C844" t="str">
            <v>M3</v>
          </cell>
          <cell r="E844">
            <v>4518393</v>
          </cell>
          <cell r="F844">
            <v>6023100</v>
          </cell>
          <cell r="G844">
            <v>9910715</v>
          </cell>
          <cell r="H844">
            <v>13906240</v>
          </cell>
        </row>
        <row r="845">
          <cell r="A845" t="str">
            <v>4257/1</v>
          </cell>
          <cell r="B845" t="str">
            <v>Toplama taştan konkasörle kırılmış ve elenmiş 25 mm.(1") ve 19 mm.(3/4") lik agrega hazırlanması</v>
          </cell>
          <cell r="C845" t="str">
            <v>M3</v>
          </cell>
          <cell r="E845">
            <v>6100812</v>
          </cell>
          <cell r="F845">
            <v>8145098</v>
          </cell>
          <cell r="G845">
            <v>13192156</v>
          </cell>
          <cell r="H845">
            <v>18253867</v>
          </cell>
        </row>
        <row r="846">
          <cell r="A846" t="str">
            <v>4258</v>
          </cell>
          <cell r="B846" t="str">
            <v>Elenmemiş çakıllı malzemeden konkasörle kırılmış ve elenmiş 25 mm.(1") ve 19 mm.(3/4") lik agrega hazırlanması</v>
          </cell>
          <cell r="C846" t="str">
            <v>M3</v>
          </cell>
          <cell r="E846">
            <v>2483863</v>
          </cell>
          <cell r="F846">
            <v>3264110</v>
          </cell>
          <cell r="G846">
            <v>5700270</v>
          </cell>
          <cell r="H846">
            <v>7891416</v>
          </cell>
        </row>
        <row r="847">
          <cell r="A847" t="str">
            <v>4259</v>
          </cell>
          <cell r="B847" t="str">
            <v>Elenmiş çakıldan konkasörle kırılmış ve elenmiş 25 mm.(1") ve 19 mm.(3/4") lik agrega hazırlanması</v>
          </cell>
          <cell r="C847" t="str">
            <v>M3</v>
          </cell>
          <cell r="E847">
            <v>3166846</v>
          </cell>
          <cell r="F847">
            <v>4159531</v>
          </cell>
          <cell r="G847">
            <v>7314748</v>
          </cell>
          <cell r="H847">
            <v>10129570</v>
          </cell>
        </row>
        <row r="848">
          <cell r="A848" t="str">
            <v>4265</v>
          </cell>
          <cell r="B848" t="str">
            <v>Ocak taşından konkasörle kırılmış ve elenmiş 16 mm.(5/8") ve 12,5 mm.(1/2") lik agrega hazırlanması</v>
          </cell>
          <cell r="C848" t="str">
            <v>M3</v>
          </cell>
          <cell r="E848">
            <v>6269327</v>
          </cell>
          <cell r="F848">
            <v>8338627</v>
          </cell>
          <cell r="G848">
            <v>13894408</v>
          </cell>
          <cell r="H848">
            <v>19387581</v>
          </cell>
        </row>
        <row r="849">
          <cell r="A849" t="str">
            <v>4265/1</v>
          </cell>
          <cell r="B849" t="str">
            <v>Ocak taşından konkasörle kırılmış ve elenmiş 9,5 mm.(3/8"), 6,3 mm.(1/4"), 4,75 mm.(No.4) ve 0,85 mm.(No.20) lik agrega hazırlanması</v>
          </cell>
          <cell r="C849" t="str">
            <v>M3</v>
          </cell>
          <cell r="E849">
            <v>6399365</v>
          </cell>
          <cell r="F849">
            <v>8509827</v>
          </cell>
          <cell r="G849">
            <v>14196970</v>
          </cell>
          <cell r="H849">
            <v>19806038</v>
          </cell>
        </row>
        <row r="850">
          <cell r="A850" t="str">
            <v>4265/1-B</v>
          </cell>
          <cell r="B850" t="str">
            <v>Sert taştan konkasörle kırılmış ve elenmiş 9,5 mm. (3/8"), 6,3 mm. (1/4"), 4,75 mm. (No.4) ve 0,85 mm. (No.20) lik agrega hazırlanması</v>
          </cell>
          <cell r="C850" t="str">
            <v>TN</v>
          </cell>
          <cell r="D850">
            <v>42419</v>
          </cell>
          <cell r="E850">
            <v>4974880</v>
          </cell>
          <cell r="F850">
            <v>6602641</v>
          </cell>
          <cell r="G850">
            <v>11142317</v>
          </cell>
          <cell r="H850">
            <v>15517198</v>
          </cell>
        </row>
        <row r="851">
          <cell r="A851" t="str">
            <v>4265/B</v>
          </cell>
          <cell r="B851" t="str">
            <v>Sert taştan konkasörle kırılmış ve elenmiş 16 mm. (5/8") ve 12,5 mm. (1/2") lik agrega hazırlanması</v>
          </cell>
          <cell r="C851" t="str">
            <v>TN</v>
          </cell>
          <cell r="D851">
            <v>40953.125</v>
          </cell>
          <cell r="E851">
            <v>4812333</v>
          </cell>
          <cell r="F851">
            <v>6388641</v>
          </cell>
          <cell r="G851">
            <v>10764115</v>
          </cell>
          <cell r="H851">
            <v>14994128</v>
          </cell>
        </row>
        <row r="852">
          <cell r="A852" t="str">
            <v>4266</v>
          </cell>
          <cell r="B852" t="str">
            <v>Kazı taşından konkasörle kırılmış ve elenmiş 16 mm.(5/8") ve 12,5 mm.(1/2") lik agrega hazırlanması</v>
          </cell>
          <cell r="C852" t="str">
            <v>M3</v>
          </cell>
          <cell r="E852">
            <v>4778467</v>
          </cell>
          <cell r="F852">
            <v>6365500</v>
          </cell>
          <cell r="G852">
            <v>10515837</v>
          </cell>
          <cell r="H852">
            <v>14743152</v>
          </cell>
        </row>
        <row r="853">
          <cell r="A853" t="str">
            <v>4266/1</v>
          </cell>
          <cell r="B853" t="str">
            <v>Kazı taşından konkasörle kırılmış ve elenmiş 9,5 mm.(3/8"), 6,3 mm.(1/4"), 4,75 mm.(No.4) ve 0,85 mm.(No.20) lik agrega hazırlanması</v>
          </cell>
          <cell r="C853" t="str">
            <v>M3</v>
          </cell>
          <cell r="E853">
            <v>4908505</v>
          </cell>
          <cell r="F853">
            <v>6536700</v>
          </cell>
          <cell r="G853">
            <v>10818398</v>
          </cell>
          <cell r="H853">
            <v>15161610</v>
          </cell>
        </row>
        <row r="854">
          <cell r="A854" t="str">
            <v>4266/2</v>
          </cell>
          <cell r="B854" t="str">
            <v>Toplama taştan konkasörle kırılmış ve elenmiş 16 mm.(5/8") ve 12,5 mm.(1/2") lik agrega hazırlanması</v>
          </cell>
          <cell r="C854" t="str">
            <v>M3</v>
          </cell>
          <cell r="E854">
            <v>6360886</v>
          </cell>
          <cell r="F854">
            <v>8487498</v>
          </cell>
          <cell r="G854">
            <v>13797278</v>
          </cell>
          <cell r="H854">
            <v>19360780</v>
          </cell>
        </row>
        <row r="855">
          <cell r="A855" t="str">
            <v>4266/3</v>
          </cell>
          <cell r="B855" t="str">
            <v>Toplama taştan konkasörle kırılmış ve elenmiş 9,5 mm.(3/8"), 6,3 mm.(1/4"), 4,75 mm.(No.4) ve 0,85 mm (No.20) lik agrega hazırlanması</v>
          </cell>
          <cell r="C855" t="str">
            <v>M3</v>
          </cell>
          <cell r="E855">
            <v>6490923</v>
          </cell>
          <cell r="F855">
            <v>8658698</v>
          </cell>
          <cell r="G855">
            <v>14099840</v>
          </cell>
          <cell r="H855">
            <v>19779237</v>
          </cell>
        </row>
        <row r="856">
          <cell r="A856" t="str">
            <v>4267</v>
          </cell>
          <cell r="B856" t="str">
            <v>Elenmemiş çakıllı malzemeden konkasörle kırılmış ve elenmiş 16 mm.(5/8") ve 12,5 mm.(1/2") lik agrega hazırlanması</v>
          </cell>
          <cell r="C856" t="str">
            <v>M3</v>
          </cell>
          <cell r="E856">
            <v>2743937</v>
          </cell>
          <cell r="F856">
            <v>3606510</v>
          </cell>
          <cell r="G856">
            <v>6305392</v>
          </cell>
          <cell r="H856">
            <v>8728330</v>
          </cell>
        </row>
        <row r="857">
          <cell r="A857" t="str">
            <v>4267/1</v>
          </cell>
          <cell r="B857" t="str">
            <v>Elenmemiş çakıllı malzemeden konkasörle kırılmış ve elenmiş 9,5 mm.(3/8"),6,3 mm.(1/4"),4,75 mm.(No.4) ve 0,85 mm.(No.20) lik agrega hazırlanması</v>
          </cell>
          <cell r="C857" t="str">
            <v>M3</v>
          </cell>
          <cell r="E857">
            <v>2873975</v>
          </cell>
          <cell r="F857">
            <v>3777710</v>
          </cell>
          <cell r="G857">
            <v>6607953</v>
          </cell>
          <cell r="H857">
            <v>9146786</v>
          </cell>
        </row>
        <row r="858">
          <cell r="A858" t="str">
            <v>4268</v>
          </cell>
          <cell r="B858" t="str">
            <v>Elenmiş çakıldan konkasörle kırılmış ve elenmiş 16 mm.(5/8") ve 12,5 mm.(1/2") lik agrega hazırlanması</v>
          </cell>
          <cell r="C858" t="str">
            <v>M3</v>
          </cell>
          <cell r="E858">
            <v>3426920</v>
          </cell>
          <cell r="F858">
            <v>4501931</v>
          </cell>
          <cell r="G858">
            <v>7919871</v>
          </cell>
          <cell r="H858">
            <v>10966482</v>
          </cell>
        </row>
        <row r="859">
          <cell r="A859" t="str">
            <v>4268/1</v>
          </cell>
          <cell r="B859" t="str">
            <v>Elenmiş çakıldan konkasörle kırılmış ve elenmiş 9,5 mm. (3/8"), 6,3 mm.(1/4"), 4,75 mm.(No.4) ve 0,85 mm.(No.20) lik agrega hazırlanması</v>
          </cell>
          <cell r="C859" t="str">
            <v>M3</v>
          </cell>
          <cell r="E859">
            <v>3556957</v>
          </cell>
          <cell r="F859">
            <v>4673131</v>
          </cell>
          <cell r="G859">
            <v>8222432</v>
          </cell>
          <cell r="H859">
            <v>11384940</v>
          </cell>
        </row>
        <row r="860">
          <cell r="A860" t="str">
            <v>4269</v>
          </cell>
          <cell r="B860" t="str">
            <v>Malzemenin kantar ile tartılması</v>
          </cell>
          <cell r="C860" t="str">
            <v>TN</v>
          </cell>
          <cell r="E860">
            <v>5266</v>
          </cell>
          <cell r="F860">
            <v>7110</v>
          </cell>
          <cell r="G860">
            <v>11375</v>
          </cell>
          <cell r="H860">
            <v>14220</v>
          </cell>
        </row>
        <row r="861">
          <cell r="A861" t="str">
            <v>4270</v>
          </cell>
          <cell r="B861" t="str">
            <v>Mineral filler hazırlanması</v>
          </cell>
          <cell r="C861" t="str">
            <v>TN</v>
          </cell>
          <cell r="E861">
            <v>3080000</v>
          </cell>
          <cell r="F861">
            <v>3696250</v>
          </cell>
          <cell r="G861">
            <v>6098750</v>
          </cell>
          <cell r="H861">
            <v>7875000</v>
          </cell>
        </row>
        <row r="862">
          <cell r="A862" t="str">
            <v>4346</v>
          </cell>
          <cell r="B862" t="str">
            <v>Sıvı bitümlü malzemenin varillenmesi</v>
          </cell>
          <cell r="C862" t="str">
            <v>TN</v>
          </cell>
          <cell r="E862">
            <v>34984800</v>
          </cell>
          <cell r="F862">
            <v>43289250</v>
          </cell>
          <cell r="G862">
            <v>37260000</v>
          </cell>
          <cell r="H862">
            <v>39112500</v>
          </cell>
        </row>
        <row r="863">
          <cell r="A863" t="str">
            <v>4347</v>
          </cell>
          <cell r="B863" t="str">
            <v>Katı ve yarı katı bitümlü malzemenin varillenmesi</v>
          </cell>
          <cell r="C863" t="str">
            <v>TN</v>
          </cell>
          <cell r="E863">
            <v>29509800</v>
          </cell>
          <cell r="F863">
            <v>36555000</v>
          </cell>
          <cell r="G863">
            <v>31785000</v>
          </cell>
          <cell r="H863">
            <v>33637500</v>
          </cell>
        </row>
        <row r="864">
          <cell r="A864" t="str">
            <v>4351</v>
          </cell>
          <cell r="B864" t="str">
            <v>Varilli sıvı bitümlü malzemenin ısıtma tankına boşaltılması</v>
          </cell>
          <cell r="C864" t="str">
            <v>TN</v>
          </cell>
          <cell r="E864">
            <v>4650100</v>
          </cell>
          <cell r="F864">
            <v>6248125</v>
          </cell>
          <cell r="G864">
            <v>9837500</v>
          </cell>
          <cell r="H864">
            <v>13962500</v>
          </cell>
        </row>
        <row r="865">
          <cell r="A865" t="str">
            <v>4352</v>
          </cell>
          <cell r="B865" t="str">
            <v>Varilli yarı katı bitümlü malzemenin ısıtma tankına boşaltılması</v>
          </cell>
          <cell r="C865" t="str">
            <v>TN</v>
          </cell>
          <cell r="E865">
            <v>8285800</v>
          </cell>
          <cell r="F865">
            <v>10995625</v>
          </cell>
          <cell r="G865">
            <v>18508750</v>
          </cell>
          <cell r="H865">
            <v>26237500</v>
          </cell>
        </row>
        <row r="866">
          <cell r="A866" t="str">
            <v>4353</v>
          </cell>
          <cell r="B866" t="str">
            <v>Varilli katı bitümlü malzemenin ısıtma tankına boşaltılması</v>
          </cell>
          <cell r="C866" t="str">
            <v>TN</v>
          </cell>
          <cell r="E866">
            <v>10238200</v>
          </cell>
          <cell r="F866">
            <v>13567500</v>
          </cell>
          <cell r="G866">
            <v>23006250</v>
          </cell>
          <cell r="H866">
            <v>32608750</v>
          </cell>
        </row>
        <row r="867">
          <cell r="A867" t="str">
            <v>4355</v>
          </cell>
          <cell r="B867" t="str">
            <v>Yarı katı bitümlü malzemenin sarnıç veya tanklarda emiş derecesine kadar ısıtılması (Makine ile)</v>
          </cell>
          <cell r="C867" t="str">
            <v>TN</v>
          </cell>
          <cell r="E867">
            <v>3285936</v>
          </cell>
          <cell r="F867">
            <v>4290840</v>
          </cell>
          <cell r="G867">
            <v>7849912</v>
          </cell>
          <cell r="H867">
            <v>11043446</v>
          </cell>
        </row>
        <row r="868">
          <cell r="A868" t="str">
            <v>4356</v>
          </cell>
          <cell r="B868" t="str">
            <v>Yarı katı bitümlü malzemenin ısıtma tankında emiş derecesine kadar ısıtılması (Makinesiz, basit usulle)</v>
          </cell>
          <cell r="C868" t="str">
            <v>TN</v>
          </cell>
          <cell r="E868">
            <v>11470000</v>
          </cell>
          <cell r="F868">
            <v>15035000</v>
          </cell>
          <cell r="G868">
            <v>26943750</v>
          </cell>
          <cell r="H868">
            <v>38153750</v>
          </cell>
        </row>
        <row r="869">
          <cell r="A869" t="str">
            <v>4358</v>
          </cell>
          <cell r="B869" t="str">
            <v>Katı bitümlü malzemenin sarnıç veya tanklarda emiş derecesine kadar ısıtılması (Makine ile)</v>
          </cell>
          <cell r="C869" t="str">
            <v>TN</v>
          </cell>
          <cell r="D869">
            <v>40029</v>
          </cell>
          <cell r="E869">
            <v>4615235</v>
          </cell>
          <cell r="F869">
            <v>6024067</v>
          </cell>
          <cell r="G869">
            <v>11044868</v>
          </cell>
          <cell r="H869">
            <v>15534470</v>
          </cell>
        </row>
        <row r="870">
          <cell r="A870" t="str">
            <v>4359</v>
          </cell>
          <cell r="B870" t="str">
            <v>Katı bitümlü malzemenin ısıtma tankında emiş derecesine kadar ısıtılması (Makinesiz, basit usulle)</v>
          </cell>
          <cell r="C870" t="str">
            <v>TN</v>
          </cell>
          <cell r="E870">
            <v>14129500</v>
          </cell>
          <cell r="F870">
            <v>18496562</v>
          </cell>
          <cell r="G870">
            <v>33366250</v>
          </cell>
          <cell r="H870">
            <v>47243125</v>
          </cell>
        </row>
        <row r="871">
          <cell r="A871" t="str">
            <v>4360</v>
          </cell>
          <cell r="B871" t="str">
            <v>Sıvı bitümlü malzemenin kullanma tankında tatbik derecesine kadar ısıtılması (Makinesiz, basit usulle)</v>
          </cell>
          <cell r="C871" t="str">
            <v>TN</v>
          </cell>
          <cell r="E871">
            <v>8815000</v>
          </cell>
          <cell r="F871">
            <v>11645000</v>
          </cell>
          <cell r="G871">
            <v>20066250</v>
          </cell>
          <cell r="H871">
            <v>28433750</v>
          </cell>
        </row>
        <row r="872">
          <cell r="A872" t="str">
            <v>4361</v>
          </cell>
          <cell r="B872" t="str">
            <v>Yarı katı bitümlü malzemenin kullanma tankında tatbik derecesine kadar ısıtılması (Makinesiz, basit usulle)</v>
          </cell>
          <cell r="C872" t="str">
            <v>TN</v>
          </cell>
          <cell r="E872">
            <v>16971400</v>
          </cell>
          <cell r="F872">
            <v>22270000</v>
          </cell>
          <cell r="G872">
            <v>39701250</v>
          </cell>
          <cell r="H872">
            <v>56223750</v>
          </cell>
        </row>
        <row r="873">
          <cell r="A873" t="str">
            <v>4362</v>
          </cell>
          <cell r="B873" t="str">
            <v>Katı bitümlü malzemenin kullanma tankında tatbik derecesine kadar ısıtılması (Makinesiz, basit usulle)</v>
          </cell>
          <cell r="C873" t="str">
            <v>TN</v>
          </cell>
          <cell r="E873">
            <v>22472800</v>
          </cell>
          <cell r="F873">
            <v>29505000</v>
          </cell>
          <cell r="G873">
            <v>52458750</v>
          </cell>
          <cell r="H873">
            <v>74293750</v>
          </cell>
        </row>
        <row r="874">
          <cell r="A874" t="str">
            <v>4363</v>
          </cell>
          <cell r="B874" t="str">
            <v>Bitümlü malzemeden yarı katı veya sıvı bitümlü malzeme (Katbek asfaltı) yapılması</v>
          </cell>
          <cell r="C874" t="str">
            <v>TN</v>
          </cell>
          <cell r="E874">
            <v>1707840</v>
          </cell>
          <cell r="F874">
            <v>2307000</v>
          </cell>
          <cell r="G874">
            <v>3528000</v>
          </cell>
          <cell r="H874">
            <v>5010000</v>
          </cell>
        </row>
        <row r="875">
          <cell r="A875" t="str">
            <v>4363/1</v>
          </cell>
          <cell r="B875" t="str">
            <v>İdare malı bitümle bitümlü yapıştırıcı (RC-250) hazırlanması</v>
          </cell>
          <cell r="C875" t="str">
            <v>TN</v>
          </cell>
          <cell r="D875">
            <v>1769895</v>
          </cell>
          <cell r="E875">
            <v>217285991</v>
          </cell>
          <cell r="F875">
            <v>257027438</v>
          </cell>
          <cell r="G875">
            <v>529518257</v>
          </cell>
          <cell r="H875">
            <v>735479420</v>
          </cell>
        </row>
        <row r="876">
          <cell r="A876" t="str">
            <v>4364</v>
          </cell>
          <cell r="B876" t="str">
            <v>Varil veya bidonla taşınan bitümlü malzemenin tankdan geçirilmesi</v>
          </cell>
          <cell r="C876" t="str">
            <v>TN</v>
          </cell>
          <cell r="E876">
            <v>194871</v>
          </cell>
          <cell r="F876">
            <v>263150</v>
          </cell>
          <cell r="G876">
            <v>420850</v>
          </cell>
          <cell r="H876">
            <v>526062</v>
          </cell>
        </row>
        <row r="877">
          <cell r="A877" t="str">
            <v>4365</v>
          </cell>
          <cell r="B877" t="str">
            <v>Sarnıçlı vagon, tanker, kamyon ve roley tank gibi kaplarla taşınan bitümlü malzemenin depolanması</v>
          </cell>
          <cell r="C877" t="str">
            <v>TN</v>
          </cell>
          <cell r="D877">
            <v>3303</v>
          </cell>
          <cell r="E877">
            <v>292306</v>
          </cell>
          <cell r="F877">
            <v>394725</v>
          </cell>
          <cell r="G877">
            <v>631275</v>
          </cell>
          <cell r="H877">
            <v>789093</v>
          </cell>
        </row>
        <row r="878">
          <cell r="A878" t="str">
            <v>4366</v>
          </cell>
          <cell r="B878" t="str">
            <v>Bitümlü malzemenin asfalt pompası ile bir kabdan diğer bir kaba aktarılması</v>
          </cell>
          <cell r="C878" t="str">
            <v>TN</v>
          </cell>
          <cell r="D878">
            <v>5248</v>
          </cell>
          <cell r="E878">
            <v>627338</v>
          </cell>
          <cell r="F878">
            <v>824383</v>
          </cell>
          <cell r="G878">
            <v>1460000</v>
          </cell>
          <cell r="H878">
            <v>2061398</v>
          </cell>
        </row>
        <row r="879">
          <cell r="A879" t="str">
            <v>4367</v>
          </cell>
          <cell r="B879" t="str">
            <v>Yumuşatıcı (Gaz, benzin, motorin vs.gibi) petrol ürünlerinin pompa veya el ile bir kabdan diğer bir kaba aktarılması</v>
          </cell>
          <cell r="C879" t="str">
            <v>TN</v>
          </cell>
          <cell r="E879">
            <v>355800</v>
          </cell>
          <cell r="F879">
            <v>480625</v>
          </cell>
          <cell r="G879">
            <v>735000</v>
          </cell>
          <cell r="H879">
            <v>1043750</v>
          </cell>
        </row>
        <row r="880">
          <cell r="A880" t="str">
            <v>4368</v>
          </cell>
          <cell r="B880" t="str">
            <v>Yumuşatıcı (Gaz, benzin, motorin vs.gibi) petrol ürünlerinin depolanması</v>
          </cell>
          <cell r="C880" t="str">
            <v>TN</v>
          </cell>
          <cell r="E880">
            <v>711600</v>
          </cell>
          <cell r="F880">
            <v>961250</v>
          </cell>
          <cell r="G880">
            <v>1470000</v>
          </cell>
          <cell r="H880">
            <v>2087500</v>
          </cell>
        </row>
        <row r="881">
          <cell r="A881" t="str">
            <v>4371</v>
          </cell>
          <cell r="B881" t="str">
            <v>Evvelce hazırlanmış stabilize bir yolun ince reglajı</v>
          </cell>
          <cell r="C881" t="str">
            <v>DA</v>
          </cell>
          <cell r="E881">
            <v>17908608</v>
          </cell>
          <cell r="F881">
            <v>23623853</v>
          </cell>
          <cell r="G881">
            <v>41327436</v>
          </cell>
          <cell r="H881">
            <v>57211977</v>
          </cell>
        </row>
        <row r="882">
          <cell r="A882" t="str">
            <v>4375</v>
          </cell>
          <cell r="B882" t="str">
            <v>Beton ve her nevi asfalt yollar dışındaki yolların el ile süpürülmesi</v>
          </cell>
          <cell r="C882" t="str">
            <v>DA</v>
          </cell>
          <cell r="E882">
            <v>56928000</v>
          </cell>
          <cell r="F882">
            <v>76900000</v>
          </cell>
          <cell r="G882">
            <v>117600000</v>
          </cell>
          <cell r="H882">
            <v>167000000</v>
          </cell>
        </row>
        <row r="883">
          <cell r="A883" t="str">
            <v>4376</v>
          </cell>
          <cell r="B883" t="str">
            <v>Beton ve her nevi asfalt yolların el ile süpürülmesi</v>
          </cell>
          <cell r="C883" t="str">
            <v>DA</v>
          </cell>
          <cell r="E883">
            <v>28464000</v>
          </cell>
          <cell r="F883">
            <v>38450000</v>
          </cell>
          <cell r="G883">
            <v>58800000</v>
          </cell>
          <cell r="H883">
            <v>83500000</v>
          </cell>
        </row>
        <row r="884">
          <cell r="A884" t="str">
            <v>4377</v>
          </cell>
          <cell r="B884" t="str">
            <v>Beton ve her nevi asfalt yollar dışındaki yolların makine ile süpürülmesi</v>
          </cell>
          <cell r="C884" t="str">
            <v>DA</v>
          </cell>
          <cell r="E884">
            <v>2965786</v>
          </cell>
          <cell r="F884">
            <v>3941327</v>
          </cell>
          <cell r="G884">
            <v>6602333</v>
          </cell>
          <cell r="H884">
            <v>9267570</v>
          </cell>
        </row>
        <row r="885">
          <cell r="A885" t="str">
            <v>4378</v>
          </cell>
          <cell r="B885" t="str">
            <v>Beton ve her nevi asfalt yolların makine ile süpürülmesi</v>
          </cell>
          <cell r="C885" t="str">
            <v>DA</v>
          </cell>
          <cell r="D885">
            <v>12423</v>
          </cell>
          <cell r="E885">
            <v>1502663</v>
          </cell>
          <cell r="F885">
            <v>1996938</v>
          </cell>
          <cell r="G885">
            <v>3345181</v>
          </cell>
          <cell r="H885">
            <v>4695567</v>
          </cell>
        </row>
        <row r="886">
          <cell r="A886" t="str">
            <v>4380</v>
          </cell>
          <cell r="B886" t="str">
            <v>Bitümlü kaplama ve karışımlar için mevcut agreganın elenmesi</v>
          </cell>
          <cell r="C886" t="str">
            <v>M3</v>
          </cell>
          <cell r="E886">
            <v>861486</v>
          </cell>
          <cell r="F886">
            <v>1132753</v>
          </cell>
          <cell r="G886">
            <v>2009136</v>
          </cell>
          <cell r="H886">
            <v>2797506</v>
          </cell>
        </row>
        <row r="887">
          <cell r="A887" t="str">
            <v>4381</v>
          </cell>
          <cell r="B887" t="str">
            <v>Mevcut asfalt mıcırının tozunun giderilmesi</v>
          </cell>
          <cell r="C887" t="str">
            <v>M3</v>
          </cell>
          <cell r="E887">
            <v>321467</v>
          </cell>
          <cell r="F887">
            <v>428251</v>
          </cell>
          <cell r="G887">
            <v>710876</v>
          </cell>
          <cell r="H887">
            <v>988345</v>
          </cell>
        </row>
        <row r="888">
          <cell r="A888" t="str">
            <v>4382</v>
          </cell>
          <cell r="B888" t="str">
            <v>Bitümlü kaplama ve karışımlar için mevcut agreganın yıkama makinesi ile yıkanması</v>
          </cell>
          <cell r="C888" t="str">
            <v>M3</v>
          </cell>
          <cell r="E888">
            <v>573655</v>
          </cell>
          <cell r="F888">
            <v>754042</v>
          </cell>
          <cell r="G888">
            <v>1340348</v>
          </cell>
          <cell r="H888">
            <v>1864823</v>
          </cell>
        </row>
        <row r="889">
          <cell r="A889" t="str">
            <v>4383</v>
          </cell>
          <cell r="B889" t="str">
            <v>Bitümlü kaplama ve karışım agregasının Poz 4380'e göre elenirken eleğe su verilerek yıkanması</v>
          </cell>
          <cell r="C889" t="str">
            <v>M3</v>
          </cell>
          <cell r="E889">
            <v>94240</v>
          </cell>
          <cell r="F889">
            <v>122575</v>
          </cell>
          <cell r="G889">
            <v>228702</v>
          </cell>
          <cell r="H889">
            <v>321298</v>
          </cell>
        </row>
        <row r="890">
          <cell r="A890" t="str">
            <v>4391</v>
          </cell>
          <cell r="B890" t="str">
            <v>Treyler distribütör ile astar bitümlü malzemesi püskürtülmesi (Boru ile)</v>
          </cell>
          <cell r="C890" t="str">
            <v>DA</v>
          </cell>
          <cell r="E890">
            <v>5694130</v>
          </cell>
          <cell r="F890">
            <v>7467051</v>
          </cell>
          <cell r="G890">
            <v>13396593</v>
          </cell>
          <cell r="H890">
            <v>18760195</v>
          </cell>
        </row>
        <row r="891">
          <cell r="A891" t="str">
            <v>4392</v>
          </cell>
          <cell r="B891" t="str">
            <v>Treyler distribütör ile astar bitümlü malzemesi püskürtülmesi (El ile)</v>
          </cell>
          <cell r="C891" t="str">
            <v>DA</v>
          </cell>
          <cell r="E891">
            <v>11696223</v>
          </cell>
          <cell r="F891">
            <v>15410122</v>
          </cell>
          <cell r="G891">
            <v>26993763</v>
          </cell>
          <cell r="H891">
            <v>37871492</v>
          </cell>
        </row>
        <row r="892">
          <cell r="A892" t="str">
            <v>4393</v>
          </cell>
          <cell r="B892" t="str">
            <v>Distribütör makinesi ile astar bitümlü malzemesi püskürtülmesi (Boru ile)</v>
          </cell>
          <cell r="C892" t="str">
            <v>DA</v>
          </cell>
          <cell r="E892">
            <v>5913998</v>
          </cell>
          <cell r="F892">
            <v>7758527</v>
          </cell>
          <cell r="G892">
            <v>13901341</v>
          </cell>
          <cell r="H892">
            <v>19424356</v>
          </cell>
        </row>
        <row r="893">
          <cell r="A893" t="str">
            <v>4394</v>
          </cell>
          <cell r="B893" t="str">
            <v>Distribütör makinesi ile astar bitümlü malzemesi püskürtülmesi (El ile)</v>
          </cell>
          <cell r="C893" t="str">
            <v>DA</v>
          </cell>
          <cell r="E893">
            <v>12995021</v>
          </cell>
          <cell r="F893">
            <v>17093506</v>
          </cell>
          <cell r="G893">
            <v>30213483</v>
          </cell>
          <cell r="H893">
            <v>42272212</v>
          </cell>
        </row>
        <row r="894">
          <cell r="A894" t="str">
            <v>4396</v>
          </cell>
          <cell r="B894" t="str">
            <v>Treyler distribütör ile yapıştırma bitümlü malzemesi püskürtülmesi (Boru ile)</v>
          </cell>
          <cell r="C894" t="str">
            <v>DA</v>
          </cell>
          <cell r="E894">
            <v>5173611</v>
          </cell>
          <cell r="F894">
            <v>6786003</v>
          </cell>
          <cell r="G894">
            <v>12161155</v>
          </cell>
          <cell r="H894">
            <v>17029408</v>
          </cell>
        </row>
        <row r="895">
          <cell r="A895" t="str">
            <v>4397</v>
          </cell>
          <cell r="B895" t="str">
            <v>Treyler distribütör ile yapıştırma bitümlü malzemesi püskürtülmesi (El ile)</v>
          </cell>
          <cell r="C895" t="str">
            <v>DA</v>
          </cell>
          <cell r="E895">
            <v>9612757</v>
          </cell>
          <cell r="F895">
            <v>12669300</v>
          </cell>
          <cell r="G895">
            <v>22155021</v>
          </cell>
          <cell r="H895">
            <v>31085617</v>
          </cell>
        </row>
        <row r="896">
          <cell r="A896" t="str">
            <v>4398</v>
          </cell>
          <cell r="B896" t="str">
            <v>Distribütör makinesi ile yapıştırma bitümlü malzemesi püskürtülmesi(Boru ile)</v>
          </cell>
          <cell r="C896" t="str">
            <v>DA</v>
          </cell>
          <cell r="D896">
            <v>36661</v>
          </cell>
          <cell r="E896">
            <v>4183071</v>
          </cell>
          <cell r="F896">
            <v>5487738</v>
          </cell>
          <cell r="G896">
            <v>9832656</v>
          </cell>
          <cell r="H896">
            <v>13739178</v>
          </cell>
        </row>
        <row r="897">
          <cell r="A897" t="str">
            <v>4399</v>
          </cell>
          <cell r="B897" t="str">
            <v>Distribütör makinesi ile yapıştırma bitümlü malzemesi püskürtülmesi (El ile)</v>
          </cell>
          <cell r="C897" t="str">
            <v>DA</v>
          </cell>
          <cell r="E897">
            <v>9139863</v>
          </cell>
          <cell r="F897">
            <v>12026258</v>
          </cell>
          <cell r="G897">
            <v>21222555</v>
          </cell>
          <cell r="H897">
            <v>29697467</v>
          </cell>
        </row>
        <row r="898">
          <cell r="A898" t="str">
            <v>4401</v>
          </cell>
          <cell r="B898" t="str">
            <v>Treyler distribütör ve 25 mm.(1") lik agrega (Mıcır) ile bir tabaka bitümlü sathi kaplama yapılması</v>
          </cell>
          <cell r="C898" t="str">
            <v>DA</v>
          </cell>
          <cell r="E898">
            <v>26316545</v>
          </cell>
          <cell r="F898">
            <v>34625800</v>
          </cell>
          <cell r="G898">
            <v>58286970</v>
          </cell>
          <cell r="H898">
            <v>80704502</v>
          </cell>
        </row>
        <row r="899">
          <cell r="A899" t="str">
            <v>4402</v>
          </cell>
          <cell r="B899" t="str">
            <v>Distribütör makinesi ve 25 mm.(1") lik agrega (Mıcır) ile bir tabaka bitümlü sathi kaplama yapılması</v>
          </cell>
          <cell r="C899" t="str">
            <v>DA</v>
          </cell>
          <cell r="E899">
            <v>25728460</v>
          </cell>
          <cell r="F899">
            <v>33859490</v>
          </cell>
          <cell r="G899">
            <v>56879138</v>
          </cell>
          <cell r="H899">
            <v>78687530</v>
          </cell>
        </row>
        <row r="900">
          <cell r="A900" t="str">
            <v>4406</v>
          </cell>
          <cell r="B900" t="str">
            <v>Treyler distribütör ve 19 mm.(3/4") lik agrega (Mıcır) ile bir tabaka bitümlü sathi kaplama yapılması</v>
          </cell>
          <cell r="C900" t="str">
            <v>DA</v>
          </cell>
          <cell r="E900">
            <v>21870360</v>
          </cell>
          <cell r="F900">
            <v>28757061</v>
          </cell>
          <cell r="G900">
            <v>48525718</v>
          </cell>
          <cell r="H900">
            <v>67145858</v>
          </cell>
        </row>
        <row r="901">
          <cell r="A901" t="str">
            <v>4407</v>
          </cell>
          <cell r="B901" t="str">
            <v>Distribütör makinesi ve 19 mm.(3/4") lik agrega (Mıcır) ile bir tabaka bitümlü sathi kaplama yapılması</v>
          </cell>
          <cell r="C901" t="str">
            <v>DA</v>
          </cell>
          <cell r="E901">
            <v>21433766</v>
          </cell>
          <cell r="F901">
            <v>28188511</v>
          </cell>
          <cell r="G901">
            <v>47479005</v>
          </cell>
          <cell r="H901">
            <v>65642040</v>
          </cell>
        </row>
        <row r="902">
          <cell r="A902" t="str">
            <v>4411</v>
          </cell>
          <cell r="B902" t="str">
            <v>Treyler distribütör ve 12,5 mm.(1/2") lik agrega (Mıcır) ile bir tabaka bitümlü sathi kaplama yapılması</v>
          </cell>
          <cell r="C902" t="str">
            <v>DA</v>
          </cell>
          <cell r="E902">
            <v>16805791</v>
          </cell>
          <cell r="F902">
            <v>22088597</v>
          </cell>
          <cell r="G902">
            <v>37516202</v>
          </cell>
          <cell r="H902">
            <v>51914276</v>
          </cell>
        </row>
        <row r="903">
          <cell r="A903" t="str">
            <v>4412</v>
          </cell>
          <cell r="B903" t="str">
            <v>Distribütör makinesi ve 12,5 mm.(1/2") lik agrega (Mıcır) ile bir tabaka bitümlü sathi kaplama yapılması</v>
          </cell>
          <cell r="C903" t="str">
            <v>DA</v>
          </cell>
          <cell r="E903">
            <v>16464932</v>
          </cell>
          <cell r="F903">
            <v>21644793</v>
          </cell>
          <cell r="G903">
            <v>36698670</v>
          </cell>
          <cell r="H903">
            <v>50738801</v>
          </cell>
        </row>
        <row r="904">
          <cell r="A904" t="str">
            <v>4416</v>
          </cell>
          <cell r="B904" t="str">
            <v>Treyler distribütör ve 9,5 mm.(3/8") lik agrega (Mıcır) ile bir tabaka bitümlü sathi kaplama veya silkot yapılması</v>
          </cell>
          <cell r="C904" t="str">
            <v>DA</v>
          </cell>
          <cell r="E904">
            <v>10735173</v>
          </cell>
          <cell r="F904">
            <v>14131186</v>
          </cell>
          <cell r="G904">
            <v>23893785</v>
          </cell>
          <cell r="H904">
            <v>33142481</v>
          </cell>
        </row>
        <row r="905">
          <cell r="A905" t="str">
            <v>4417</v>
          </cell>
          <cell r="B905" t="str">
            <v>Distribütör makinesi ve 9,5 mm.(3/8") lik agrega (Mıcır) ile bir tabaka bitümlü sathi kaplama veya silkot yapılması</v>
          </cell>
          <cell r="C905" t="str">
            <v>DA</v>
          </cell>
          <cell r="E905">
            <v>10392212</v>
          </cell>
          <cell r="F905">
            <v>13683932</v>
          </cell>
          <cell r="G905">
            <v>23074303</v>
          </cell>
          <cell r="H905">
            <v>31972640</v>
          </cell>
        </row>
        <row r="906">
          <cell r="A906" t="str">
            <v>4421</v>
          </cell>
          <cell r="B906" t="str">
            <v>Treyler distribütör ile penatrasyon makadam satıh tabakası yapılması</v>
          </cell>
          <cell r="C906" t="str">
            <v>DA</v>
          </cell>
          <cell r="E906">
            <v>177476235</v>
          </cell>
          <cell r="F906">
            <v>234801386</v>
          </cell>
          <cell r="G906">
            <v>399000425</v>
          </cell>
          <cell r="H906">
            <v>556973685</v>
          </cell>
        </row>
        <row r="907">
          <cell r="A907" t="str">
            <v>4422</v>
          </cell>
          <cell r="B907" t="str">
            <v>Distribütör makinesi ile penatrasyon makadam satıh tabakası yapılması</v>
          </cell>
          <cell r="C907" t="str">
            <v>DA</v>
          </cell>
          <cell r="E907">
            <v>164340418</v>
          </cell>
          <cell r="F907">
            <v>217602182</v>
          </cell>
          <cell r="G907">
            <v>367959107</v>
          </cell>
          <cell r="H907">
            <v>513276910</v>
          </cell>
        </row>
        <row r="908">
          <cell r="A908" t="str">
            <v>4426</v>
          </cell>
          <cell r="B908" t="str">
            <v>El ve mixall ile Asfalt betonu kaplama, Rolled asfalt kaplama, Bitümlü makadam satıh tabakası, Karışımı plentmiks metoduyla hazırlanan bitümlü kaplamalar (Tip A, B, C satıh tabakası), Rolled asfalt temel tabakası, Bitümlü makadam temel tabakası</v>
          </cell>
          <cell r="C908" t="str">
            <v>TN</v>
          </cell>
          <cell r="E908">
            <v>11012585</v>
          </cell>
          <cell r="F908">
            <v>14590570</v>
          </cell>
          <cell r="G908">
            <v>24782306</v>
          </cell>
          <cell r="H908">
            <v>35059361</v>
          </cell>
        </row>
        <row r="909">
          <cell r="A909" t="str">
            <v>4427</v>
          </cell>
          <cell r="B909" t="str">
            <v>Küçük plent ünitesi ileAsfalt betonu kaplama,Rolled asfalt kaplama,Bitümlü makadam satıh tabakası,Karışımı plentmiks metoduyla hazırlanan bitümlü kaplamalar (Tip A, B,C satıh tabakası), Rolled asfalt temel tabakası, Bitümlü makadam temel tabakas</v>
          </cell>
          <cell r="C909" t="str">
            <v>TN</v>
          </cell>
          <cell r="E909">
            <v>4267373</v>
          </cell>
          <cell r="F909">
            <v>5575188</v>
          </cell>
          <cell r="G909">
            <v>10040407</v>
          </cell>
          <cell r="H909">
            <v>14038637</v>
          </cell>
        </row>
        <row r="910">
          <cell r="A910" t="str">
            <v>4428</v>
          </cell>
          <cell r="B910" t="str">
            <v>Küçük plent ünitesi ile hazırlanmış Asfalt betonu kaplama, Rolled asfalt kaplama, Bitümlü makadam satıh tabakası, Karışımı plentmiks metoduyla hazırlanan bitümlü kaplamalar (Tip A, B, C satıh tabakası), Rolled asfalt temel tabakası Bitümlü maka</v>
          </cell>
          <cell r="C910" t="str">
            <v>TN</v>
          </cell>
          <cell r="E910">
            <v>1893671</v>
          </cell>
          <cell r="F910">
            <v>2513708</v>
          </cell>
          <cell r="G910">
            <v>4095995</v>
          </cell>
          <cell r="H910">
            <v>5695111</v>
          </cell>
        </row>
        <row r="911">
          <cell r="A911" t="str">
            <v>4429</v>
          </cell>
          <cell r="B911" t="str">
            <v>Küçük plent ünitesi ile hazırlanmış Asfalt betonu kaplama, Rolled asfalt kaplama, Bitümlü makadam satıh tabakası, Karışımı plentmiks metoduyla hazırlanan bitümlü kaplamalar (Tip A, B, C satıh tabakası), Rolled asfalt temel tabakası Bitümlü maka</v>
          </cell>
          <cell r="C911" t="str">
            <v>TN</v>
          </cell>
          <cell r="E911">
            <v>2067638</v>
          </cell>
          <cell r="F911">
            <v>2742901</v>
          </cell>
          <cell r="G911">
            <v>4505098</v>
          </cell>
          <cell r="H911">
            <v>6239252</v>
          </cell>
        </row>
        <row r="912">
          <cell r="A912" t="str">
            <v>4430</v>
          </cell>
          <cell r="B912" t="str">
            <v>Plent ünitesi ile hazırlanmış Asfalt betonu kaplama,Rolled asfalt kaplama, Bitümlü makadam satıh tabakası, Karışımı plentmiks metoduyla hazırlanan bitümlü kaplamalar(Tip A, B, C satıh tabakası), Rolled asfalt temel tabakası, Bitümlü makadam tem</v>
          </cell>
          <cell r="C912" t="str">
            <v>TN</v>
          </cell>
          <cell r="E912">
            <v>1616666</v>
          </cell>
          <cell r="F912">
            <v>2149433</v>
          </cell>
          <cell r="G912">
            <v>3518116</v>
          </cell>
          <cell r="H912">
            <v>4903937</v>
          </cell>
        </row>
        <row r="913">
          <cell r="A913" t="str">
            <v>4431</v>
          </cell>
          <cell r="B913" t="str">
            <v>Plent ünitesi ile hazırlanmış Asfalt betonu kaplama,Rolled asfalt kaplama, Bitümlü makadam satıh tabakası, Karışımı plentmiks metoduyla hazırlanan bitümlü kaplamalar(Tip A, B, C satıh tabakası), Rolled asfalt temel tabakası, Bitümlü makadam tem</v>
          </cell>
          <cell r="C913" t="str">
            <v>TN</v>
          </cell>
          <cell r="E913">
            <v>3716817</v>
          </cell>
          <cell r="F913">
            <v>4983650</v>
          </cell>
          <cell r="G913">
            <v>7816565</v>
          </cell>
          <cell r="H913">
            <v>11005000</v>
          </cell>
        </row>
        <row r="914">
          <cell r="A914" t="str">
            <v>4432</v>
          </cell>
          <cell r="B914" t="str">
            <v>Küçük plent ünitesi ileAsfalt betonu kaplama,Rolled asfalt kaplama,Bitümlü makadam satıh tabakası,Karışımı plentmiks metoduyla hazırlanan bitümlü kaplamalar (Tip A, B, C satıh tabakası), Rolled asfalt temel tabakası,Bitümlü makadam temel tabaka</v>
          </cell>
          <cell r="C914" t="str">
            <v>TN</v>
          </cell>
          <cell r="E914">
            <v>6161045</v>
          </cell>
          <cell r="F914">
            <v>8088897</v>
          </cell>
          <cell r="G914">
            <v>14136402</v>
          </cell>
          <cell r="H914">
            <v>19733748</v>
          </cell>
        </row>
        <row r="915">
          <cell r="A915" t="str">
            <v>4433</v>
          </cell>
          <cell r="B915" t="str">
            <v>Küçük plent ünitesi ileAsfalt betonu kaplama,Rolled asfalt kaplama,Bitümlü makadam satıh tabakası,Karışımı plentmiks metoduyla hazırlanan bitümlü kaplamalar (Tip A, B, C satıh tabakası), Rolled asfalt temel tabakası, Bitümlü makadam temel tabak</v>
          </cell>
          <cell r="C915" t="str">
            <v>TN</v>
          </cell>
          <cell r="E915">
            <v>6335012</v>
          </cell>
          <cell r="F915">
            <v>8318090</v>
          </cell>
          <cell r="G915">
            <v>14545506</v>
          </cell>
          <cell r="H915">
            <v>20277890</v>
          </cell>
        </row>
        <row r="916">
          <cell r="A916" t="str">
            <v>4434</v>
          </cell>
          <cell r="B916" t="str">
            <v>Küçük plent ünitesi ileAsfalt betonu kaplama,Rolled asfalt kaplama,Bitümlü makadam satıh tabakası,Karışımı plentmiks metoduyla hazırlanan bitümlü kaplamalar (Tip A, B, C satıh tabakası), Rolled asfalt temel tabakası, Bitümlü makadam temel tabak</v>
          </cell>
          <cell r="C916" t="str">
            <v>TN</v>
          </cell>
          <cell r="E916">
            <v>5884040</v>
          </cell>
          <cell r="F916">
            <v>7724622</v>
          </cell>
          <cell r="G916">
            <v>13558523</v>
          </cell>
          <cell r="H916">
            <v>18942575</v>
          </cell>
        </row>
        <row r="917">
          <cell r="A917" t="str">
            <v>4435</v>
          </cell>
          <cell r="B917" t="str">
            <v>Küçük plent ünitesi ileAsfalt betonu kaplama,Rolled asfalt kaplama,Bitümlü makadam satıh tabakası,Karışımı plentmiks metoduyla hazırlanan bitümlü kaplamalar (Tip A, B, C satıh tabakası), Rolled asfalt temel tabakası, Bitümlü makadam temel tabak</v>
          </cell>
          <cell r="C917" t="str">
            <v>TN</v>
          </cell>
          <cell r="E917">
            <v>7984191</v>
          </cell>
          <cell r="F917">
            <v>10558838</v>
          </cell>
          <cell r="G917">
            <v>17856972</v>
          </cell>
          <cell r="H917">
            <v>25043637</v>
          </cell>
        </row>
        <row r="918">
          <cell r="A918" t="str">
            <v>4436</v>
          </cell>
          <cell r="B918" t="str">
            <v>Büyük plent ünitesi ileAsfalt betonu kaplama,Rolled asfalt kaplama,Bitümlü makadam satıh tabakası,Karışımı plentmiks metoduyla hazırlanan bitümlü kaplamalar (Tip A, B, C  satıh tabakası), Rolled asfalt temel tabakası, Bitümlü makadam temel taba</v>
          </cell>
          <cell r="C918" t="str">
            <v>TN</v>
          </cell>
          <cell r="E918">
            <v>4358790</v>
          </cell>
          <cell r="F918">
            <v>5683363</v>
          </cell>
          <cell r="G918">
            <v>10378185</v>
          </cell>
          <cell r="H918">
            <v>14496242</v>
          </cell>
        </row>
        <row r="919">
          <cell r="A919" t="str">
            <v>4436/1</v>
          </cell>
          <cell r="B919" t="str">
            <v>Büyük plent ünitesi ileAsfalt betonu kaplama,Rolled asfalt kaplama,Bitümlü makadam satıh tabakası,Karışımı plentmiks metoduyla hazırlanan bitümlü kaplamalar (Tip A, B, C satıh tabakası), Rolled asfalt temel tabakası, Bitümlü makadam temel tabak</v>
          </cell>
          <cell r="C919" t="str">
            <v>TN</v>
          </cell>
          <cell r="E919">
            <v>4237665</v>
          </cell>
          <cell r="F919">
            <v>5534613</v>
          </cell>
          <cell r="G919">
            <v>10132747</v>
          </cell>
          <cell r="H919">
            <v>14188117</v>
          </cell>
        </row>
        <row r="920">
          <cell r="A920" t="str">
            <v>4436/M</v>
          </cell>
          <cell r="B920" t="str">
            <v>Büyük plent ünitesi ileAsfalt betonu kaplama,Rolled asfalt kaplama,Bitümlü makadam satıh tabakası,Karışımı plentmiks metoduyla hazırlanan bitümlü kaplamalar (Tip A, B, C satıh tabakası), Rolled asfalt temel tabakası, Bitümlü makadam temel tabak</v>
          </cell>
          <cell r="C920" t="str">
            <v>TN</v>
          </cell>
          <cell r="D920">
            <v>38010</v>
          </cell>
          <cell r="E920">
            <v>4298227</v>
          </cell>
          <cell r="F920">
            <v>5608988</v>
          </cell>
          <cell r="G920">
            <v>10255466</v>
          </cell>
          <cell r="H920">
            <v>14342180</v>
          </cell>
        </row>
        <row r="921">
          <cell r="A921" t="str">
            <v>4437</v>
          </cell>
          <cell r="B921" t="str">
            <v>Büyük plent ünitesi ile hazırlanmış Asfalt betonu kaplama, Rolled asfalt kaplama, Bitümlü makadam satıh tabakası, Karışımı plentmiks metoduyla hazırlanan bitümlü kaplamalar (Tip A, B, C satıh tabakası), Rolled asfalt temel tabakası Bitümlü maka</v>
          </cell>
          <cell r="C921" t="str">
            <v>TN</v>
          </cell>
          <cell r="E921">
            <v>1888847</v>
          </cell>
          <cell r="F921">
            <v>2502967</v>
          </cell>
          <cell r="G921">
            <v>4150868</v>
          </cell>
          <cell r="H921">
            <v>5774701</v>
          </cell>
        </row>
        <row r="922">
          <cell r="A922" t="str">
            <v>4438</v>
          </cell>
          <cell r="B922" t="str">
            <v>Büyük plent ünitesi ile hazırlanmış Asfalt betonu kaplama, Rolled asfalt kaplama, Bitümlü makadam satıh tabakası, Karışımı plentmiks metoduyla hazırlanan bitümlü kaplamalar (Tip A, B, C satıh tabakası),Rolled asfalt temel tabakası, Bitümlü maka</v>
          </cell>
          <cell r="C922" t="str">
            <v>TN</v>
          </cell>
          <cell r="D922">
            <v>16237.5</v>
          </cell>
          <cell r="E922">
            <v>1908493</v>
          </cell>
          <cell r="F922">
            <v>2529488</v>
          </cell>
          <cell r="G922">
            <v>4193302</v>
          </cell>
          <cell r="H922">
            <v>5827743</v>
          </cell>
        </row>
        <row r="923">
          <cell r="A923" t="str">
            <v>4439</v>
          </cell>
          <cell r="B923" t="str">
            <v>Büyük plent ünitesi ileAsfalt betonu kaplama,Rolled asfalt kaplama,Bitümlü makadam satıh tabakası,Karışımı plentmiks metoduyla hazırlanan bitümlü kaplamalar (Tip A, B, C  satıh tabakası), Rolled asfalt temel tabakası, Bitümlü makadam temel taba</v>
          </cell>
          <cell r="C923" t="str">
            <v>TN</v>
          </cell>
          <cell r="E923">
            <v>6247637</v>
          </cell>
          <cell r="F923">
            <v>8186331</v>
          </cell>
          <cell r="G923">
            <v>14529053</v>
          </cell>
          <cell r="H923">
            <v>20270943</v>
          </cell>
        </row>
        <row r="924">
          <cell r="A924" t="str">
            <v>4440</v>
          </cell>
          <cell r="B924" t="str">
            <v>Büyük plent ünitesi ileAsfalt betonu kaplama,Rolled asfalt kaplama,Bitümlü makadam satıh tabakası,Karışımı plentmiks metoduyla hazırlanan bitümlü kaplamalar (Tip A, B, C  satıh tabakası), Rolled asfalt temel tabakası, Bitümlü makadam temel taba</v>
          </cell>
          <cell r="C924" t="str">
            <v>TN</v>
          </cell>
          <cell r="E924">
            <v>6267283</v>
          </cell>
          <cell r="F924">
            <v>8212852</v>
          </cell>
          <cell r="G924">
            <v>14571487</v>
          </cell>
          <cell r="H924">
            <v>20323986</v>
          </cell>
        </row>
        <row r="925">
          <cell r="A925" t="str">
            <v>4440/M</v>
          </cell>
          <cell r="B925" t="str">
            <v>Büyük plent ünitesi ileAsfalt betonu kaplama,Rolled asfalt kaplama,Bitümlü makadam satıh tabakası,Karışımı plentmiks metoduyla hazırlanan bitümlü kaplamalar (Tip A, B, C satıh tabakası), Rolled asfalt temel tabakası, Bitümlü  makadam temel taba</v>
          </cell>
          <cell r="C925" t="str">
            <v>TN</v>
          </cell>
          <cell r="D925">
            <v>54247</v>
          </cell>
          <cell r="E925">
            <v>6206721</v>
          </cell>
          <cell r="F925">
            <v>8138477</v>
          </cell>
          <cell r="G925">
            <v>14448768</v>
          </cell>
          <cell r="H925">
            <v>20169923</v>
          </cell>
        </row>
        <row r="926">
          <cell r="A926" t="str">
            <v>4441</v>
          </cell>
          <cell r="B926" t="str">
            <v>Büyük plent ünitesi ileAsfalt betonu kaplama,Rolled asfalt kaplama,Bitümlü makadam satıh tabakası,Karışımı plentmiks metoduyla hazırlanan bitümlü kaplamalar (Tip A, B, C satıh tabakası), Rolled asfalt temel tabakası, Bitümlü makadam temel tabak</v>
          </cell>
          <cell r="C926" t="str">
            <v>TN</v>
          </cell>
          <cell r="E926">
            <v>5975456</v>
          </cell>
          <cell r="F926">
            <v>7832797</v>
          </cell>
          <cell r="G926">
            <v>13896301</v>
          </cell>
          <cell r="H926">
            <v>19400180</v>
          </cell>
        </row>
        <row r="927">
          <cell r="A927" t="str">
            <v>4442</v>
          </cell>
          <cell r="B927" t="str">
            <v>Büyük plent ünitesi ileAsfalt betonu kaplama,Rolled asfalt kaplama,Bitümlü makadam satıh tabakası,Karışımı plentmiks metoduyla hazırlanan bitümlü kaplamalar (Tip A, B, C satıh tabakası), Rolled asfalt temel tabakası, Bitümlü makadam temel tabak</v>
          </cell>
          <cell r="C927" t="str">
            <v>TN</v>
          </cell>
          <cell r="E927">
            <v>8075607</v>
          </cell>
          <cell r="F927">
            <v>10667013</v>
          </cell>
          <cell r="G927">
            <v>18194750</v>
          </cell>
          <cell r="H927">
            <v>25501242</v>
          </cell>
        </row>
        <row r="928">
          <cell r="A928" t="str">
            <v>4446</v>
          </cell>
          <cell r="B928" t="str">
            <v>Treyler distribütör ve greyder ile "Karışımı rodmiks metoduyla hazırlanan bitümlü satıh tabakası" veya "Karışımı rodmiks metoduyla hazırlanan bitümlü düzeltme tabakası" yapılması</v>
          </cell>
          <cell r="C928" t="str">
            <v>M3</v>
          </cell>
          <cell r="E928">
            <v>3644226</v>
          </cell>
          <cell r="F928">
            <v>4795791</v>
          </cell>
          <cell r="G928">
            <v>8507726</v>
          </cell>
          <cell r="H928">
            <v>11703343</v>
          </cell>
        </row>
        <row r="929">
          <cell r="A929" t="str">
            <v>4447</v>
          </cell>
          <cell r="B929" t="str">
            <v>Treyler distribütör, pulvimikser ve greyder ile "Karışımı rodmiks metoduyla hazırlanan bitümlü satıh tabakası" veya "Karışımı rodmiks metoduyla hazırlanan bitümlü düzeltme tabakası" yapılması</v>
          </cell>
          <cell r="C929" t="str">
            <v>M3</v>
          </cell>
          <cell r="E929">
            <v>3105046</v>
          </cell>
          <cell r="F929">
            <v>4088328</v>
          </cell>
          <cell r="G929">
            <v>7221228</v>
          </cell>
          <cell r="H929">
            <v>9983217</v>
          </cell>
        </row>
        <row r="930">
          <cell r="A930" t="str">
            <v>4448</v>
          </cell>
          <cell r="B930" t="str">
            <v>Distribütör makinesi ve greyder ile "Karışımı rodmiks metoduyla hazırlanan bitümlü satıh tabakası" veya "Karışımı rodmiks metoduyla hazırlanan bitümlü düzeltme tabakası"yapılması</v>
          </cell>
          <cell r="C930" t="str">
            <v>M3</v>
          </cell>
          <cell r="E930">
            <v>3761117</v>
          </cell>
          <cell r="F930">
            <v>4949381</v>
          </cell>
          <cell r="G930">
            <v>8781305</v>
          </cell>
          <cell r="H930">
            <v>12083296</v>
          </cell>
        </row>
        <row r="931">
          <cell r="A931" t="str">
            <v>4449</v>
          </cell>
          <cell r="B931" t="str">
            <v>Distribütör makinesi, pulvimikser ve greyder ile "Karışımı rodmiks metoduyla hazırlanan bitümlü satıh tabakası" veya "Karışımı rodmiks metoduyla hazırlanan bitümlü düzeltme tabakası" yapılması</v>
          </cell>
          <cell r="C931" t="str">
            <v>M3</v>
          </cell>
          <cell r="E931">
            <v>3221937</v>
          </cell>
          <cell r="F931">
            <v>4241918</v>
          </cell>
          <cell r="G931">
            <v>7494807</v>
          </cell>
          <cell r="H931">
            <v>10363170</v>
          </cell>
        </row>
        <row r="932">
          <cell r="A932" t="str">
            <v>4450</v>
          </cell>
          <cell r="B932" t="str">
            <v>Rodmikser ve greyder ile "Karışımı rodmiks metoduyla hazırlanan bitümlü satıh tabakası" veya "Karışımı rodmiks metoduyla hazırlanan bitümlü düzeltme tabakası" yapılması</v>
          </cell>
          <cell r="C932" t="str">
            <v>M3</v>
          </cell>
          <cell r="E932">
            <v>3132518</v>
          </cell>
          <cell r="F932">
            <v>4126111</v>
          </cell>
          <cell r="G932">
            <v>7278163</v>
          </cell>
          <cell r="H932">
            <v>10045741</v>
          </cell>
        </row>
        <row r="933">
          <cell r="A933" t="str">
            <v>4456</v>
          </cell>
          <cell r="B933" t="str">
            <v>El ve mixall ile "Plentmiks metoduyla hazırlanan soğuk karışım satıh tabakası" veya "Karışımı plentmiks metoduyla hazırlanan bitümlü düzeltme tabakası" yapılması</v>
          </cell>
          <cell r="C933" t="str">
            <v>TN</v>
          </cell>
          <cell r="E933">
            <v>7439023</v>
          </cell>
          <cell r="F933">
            <v>9930423</v>
          </cell>
          <cell r="G933">
            <v>16213753</v>
          </cell>
          <cell r="H933">
            <v>22941005</v>
          </cell>
        </row>
        <row r="934">
          <cell r="A934" t="str">
            <v>4457</v>
          </cell>
          <cell r="B934" t="str">
            <v>Küçük plent ünitesi ile "Plentmiks metoduyla hazırlanan soğuk karışım satıh tabakası" veya "Karışımı plentmiks metoduyla hazırlanan bitümlü düzeltme tabakası" yapılması</v>
          </cell>
          <cell r="C934" t="str">
            <v>TN</v>
          </cell>
          <cell r="E934">
            <v>4231315</v>
          </cell>
          <cell r="F934">
            <v>5544001</v>
          </cell>
          <cell r="G934">
            <v>9712286</v>
          </cell>
          <cell r="H934">
            <v>13472043</v>
          </cell>
        </row>
        <row r="935">
          <cell r="A935" t="str">
            <v>4458</v>
          </cell>
          <cell r="B935" t="str">
            <v>Büyük plent ünitesi ile "Plentmiks metoduyla hazırlanan soğuk karışım satıh tabakası" veya "Karışımı plentmiks metoduyla hazırlanan bitümlü düzeltme tabakası" yapılması</v>
          </cell>
          <cell r="C935" t="str">
            <v>TN</v>
          </cell>
          <cell r="E935">
            <v>4013688</v>
          </cell>
          <cell r="F935">
            <v>5252997</v>
          </cell>
          <cell r="G935">
            <v>9316891</v>
          </cell>
          <cell r="H935">
            <v>12895488</v>
          </cell>
        </row>
        <row r="936">
          <cell r="A936" t="str">
            <v>4461</v>
          </cell>
          <cell r="B936" t="str">
            <v>Treyler distribütör ile penatrasyon makadam temel yapılması</v>
          </cell>
          <cell r="C936" t="str">
            <v>DA</v>
          </cell>
          <cell r="E936">
            <v>219158477</v>
          </cell>
          <cell r="F936">
            <v>290388226</v>
          </cell>
          <cell r="G936">
            <v>489903140</v>
          </cell>
          <cell r="H936">
            <v>683822626</v>
          </cell>
        </row>
        <row r="937">
          <cell r="A937" t="str">
            <v>4462</v>
          </cell>
          <cell r="B937" t="str">
            <v>Distribütör makinesi ile penatrasyon makadam temel yapılması</v>
          </cell>
          <cell r="C937" t="str">
            <v>DA</v>
          </cell>
          <cell r="E937">
            <v>211326148</v>
          </cell>
          <cell r="F937">
            <v>280136372</v>
          </cell>
          <cell r="G937">
            <v>471378208</v>
          </cell>
          <cell r="H937">
            <v>657714167</v>
          </cell>
        </row>
        <row r="938">
          <cell r="A938" t="str">
            <v>4465</v>
          </cell>
          <cell r="B938" t="str">
            <v>Büyük plent ünitesi ile çimento karışımı (Çimento stabilizasyonu) hazırlanması</v>
          </cell>
          <cell r="C938" t="str">
            <v>TN</v>
          </cell>
          <cell r="E938">
            <v>1988892</v>
          </cell>
          <cell r="F938">
            <v>2628221</v>
          </cell>
          <cell r="G938">
            <v>4428313</v>
          </cell>
          <cell r="H938">
            <v>6158851</v>
          </cell>
        </row>
        <row r="939">
          <cell r="A939" t="str">
            <v>4465/3</v>
          </cell>
          <cell r="B939" t="str">
            <v>Plent-miks alttemel ve temel karışımı hazırlanması</v>
          </cell>
          <cell r="C939" t="str">
            <v>TN</v>
          </cell>
          <cell r="E939">
            <v>647095</v>
          </cell>
          <cell r="F939">
            <v>843713</v>
          </cell>
          <cell r="G939">
            <v>1447312</v>
          </cell>
          <cell r="H939">
            <v>1986275</v>
          </cell>
        </row>
        <row r="940">
          <cell r="A940" t="str">
            <v>4465/4</v>
          </cell>
          <cell r="B940" t="str">
            <v>Plent-miks karışım plentinin beslenmesi</v>
          </cell>
          <cell r="C940" t="str">
            <v>TN</v>
          </cell>
          <cell r="E940">
            <v>207145</v>
          </cell>
          <cell r="F940">
            <v>271988</v>
          </cell>
          <cell r="G940">
            <v>486898</v>
          </cell>
          <cell r="H940">
            <v>674656</v>
          </cell>
        </row>
        <row r="941">
          <cell r="A941" t="str">
            <v>4466</v>
          </cell>
          <cell r="B941" t="str">
            <v>Büyük plent ünitesi ile hazırlanmış olan çimento karışımının (Çimento stabilizasyonu) büyük finişerle serilmesi ve silindirle sıkıştırılması</v>
          </cell>
          <cell r="C941" t="str">
            <v>TN</v>
          </cell>
          <cell r="E941">
            <v>2570732</v>
          </cell>
          <cell r="F941">
            <v>3425240</v>
          </cell>
          <cell r="G941">
            <v>5550302</v>
          </cell>
          <cell r="H941">
            <v>7766383</v>
          </cell>
        </row>
        <row r="942">
          <cell r="A942" t="str">
            <v>4466/4</v>
          </cell>
          <cell r="B942" t="str">
            <v>Plent-miks alttemel ve temel karışımlarının büyük finişerle serilmesi ve silindirle sıkıştırılması</v>
          </cell>
          <cell r="C942" t="str">
            <v>TN</v>
          </cell>
          <cell r="E942">
            <v>1370017</v>
          </cell>
          <cell r="F942">
            <v>1803626</v>
          </cell>
          <cell r="G942">
            <v>3067850</v>
          </cell>
          <cell r="H942">
            <v>4243993</v>
          </cell>
        </row>
        <row r="943">
          <cell r="A943" t="str">
            <v>4466/5</v>
          </cell>
          <cell r="B943" t="str">
            <v>Plent-miks alttemel ve temel karışımlarının elektronik duyargalı finişerle serilmesi ve silindirle sıkıştırılması</v>
          </cell>
          <cell r="C943" t="str">
            <v>TN</v>
          </cell>
          <cell r="E943">
            <v>1385735</v>
          </cell>
          <cell r="F943">
            <v>1824843</v>
          </cell>
          <cell r="G943">
            <v>3101796</v>
          </cell>
          <cell r="H943">
            <v>4286427</v>
          </cell>
        </row>
        <row r="944">
          <cell r="A944" t="str">
            <v>4467</v>
          </cell>
          <cell r="B944" t="str">
            <v>Büyük plent ünitesi ile çimento karışımı (Çimento stabilizasyonu) hazırlanması, büyük finişerle serilmesi ve silindirle sıkıştırılması</v>
          </cell>
          <cell r="C944" t="str">
            <v>TN</v>
          </cell>
          <cell r="E944">
            <v>4559625</v>
          </cell>
          <cell r="F944">
            <v>6053461</v>
          </cell>
          <cell r="G944">
            <v>9978616</v>
          </cell>
          <cell r="H944">
            <v>13925235</v>
          </cell>
        </row>
        <row r="945">
          <cell r="A945" t="str">
            <v>4468</v>
          </cell>
          <cell r="B945" t="str">
            <v>Plent ünitesi ile hazırlanmış ve serilip sıkıştırılmış çimento karışımının (Çimento stabilizasyonu) kürü</v>
          </cell>
          <cell r="C945" t="str">
            <v>DA</v>
          </cell>
          <cell r="E945">
            <v>14556177</v>
          </cell>
          <cell r="F945">
            <v>19228767</v>
          </cell>
          <cell r="G945">
            <v>33231876</v>
          </cell>
          <cell r="H945">
            <v>46631155</v>
          </cell>
        </row>
        <row r="946">
          <cell r="A946" t="str">
            <v>4470</v>
          </cell>
          <cell r="B946" t="str">
            <v>Dökme çimentonun vasıta üzerinden çimento silosuna basılması</v>
          </cell>
          <cell r="C946" t="str">
            <v>TN</v>
          </cell>
          <cell r="E946">
            <v>523720</v>
          </cell>
          <cell r="F946">
            <v>703688</v>
          </cell>
          <cell r="G946">
            <v>1126210</v>
          </cell>
          <cell r="H946">
            <v>1566746</v>
          </cell>
        </row>
        <row r="947">
          <cell r="A947" t="str">
            <v>4475</v>
          </cell>
          <cell r="B947" t="str">
            <v>3 cm.kalınlıkta mastik asfalt kaplama yapılması ve üzerine bir tabaka sathi kaplama çekilmesi (Köprü döşemesi ve benzeri yerlerde)</v>
          </cell>
          <cell r="C947" t="str">
            <v>M2</v>
          </cell>
          <cell r="E947">
            <v>6812546</v>
          </cell>
          <cell r="F947">
            <v>8964386</v>
          </cell>
          <cell r="G947">
            <v>14793302</v>
          </cell>
          <cell r="H947">
            <v>20879940</v>
          </cell>
        </row>
        <row r="948">
          <cell r="A948" t="str">
            <v>4476</v>
          </cell>
          <cell r="B948" t="str">
            <v>2 cm.kalınlıkta mastik asfalt kaplama yapılması ve üzerine bir tabaka sathi kaplama çekilmesi (Köprü döşemesi ve benzeri yerlerde)</v>
          </cell>
          <cell r="C948" t="str">
            <v>M2</v>
          </cell>
          <cell r="E948">
            <v>4772932</v>
          </cell>
          <cell r="F948">
            <v>6271028</v>
          </cell>
          <cell r="G948">
            <v>10375233</v>
          </cell>
          <cell r="H948">
            <v>14626438</v>
          </cell>
        </row>
        <row r="949">
          <cell r="A949" t="str">
            <v>4480</v>
          </cell>
          <cell r="B949" t="str">
            <v>Parke taşı döşeme derzlerine mastik asfalt dolgu yapılması</v>
          </cell>
          <cell r="C949" t="str">
            <v>M2</v>
          </cell>
          <cell r="E949">
            <v>1362508</v>
          </cell>
          <cell r="F949">
            <v>1792876</v>
          </cell>
          <cell r="G949">
            <v>2958660</v>
          </cell>
          <cell r="H949">
            <v>4175987</v>
          </cell>
        </row>
        <row r="950">
          <cell r="A950" t="str">
            <v>50.127/A</v>
          </cell>
          <cell r="B950" t="str">
            <v>Beton yol korkuluğu kalıbı yapılması (Çelik)</v>
          </cell>
          <cell r="C950" t="str">
            <v>M2</v>
          </cell>
          <cell r="E950">
            <v>16161322</v>
          </cell>
          <cell r="F950">
            <v>20922345</v>
          </cell>
          <cell r="G950">
            <v>36483850</v>
          </cell>
          <cell r="H950">
            <v>49624425</v>
          </cell>
        </row>
        <row r="951">
          <cell r="A951" t="str">
            <v>50.128</v>
          </cell>
          <cell r="B951" t="str">
            <v>Beton yol korkuluğu yapılması (A tipi)</v>
          </cell>
          <cell r="C951" t="str">
            <v>MT</v>
          </cell>
          <cell r="E951">
            <v>23626517</v>
          </cell>
          <cell r="F951">
            <v>31086636</v>
          </cell>
          <cell r="G951">
            <v>55597391</v>
          </cell>
          <cell r="H951">
            <v>76403848</v>
          </cell>
        </row>
        <row r="952">
          <cell r="A952" t="str">
            <v>50.129</v>
          </cell>
          <cell r="B952" t="str">
            <v>Beton yol korkuluğu yapılması (B tipi)</v>
          </cell>
          <cell r="C952" t="str">
            <v>MT</v>
          </cell>
          <cell r="E952">
            <v>25364080</v>
          </cell>
          <cell r="F952">
            <v>33351671</v>
          </cell>
          <cell r="G952">
            <v>59769915</v>
          </cell>
          <cell r="H952">
            <v>82049526</v>
          </cell>
        </row>
        <row r="953">
          <cell r="A953" t="str">
            <v>50.130</v>
          </cell>
          <cell r="B953" t="str">
            <v>Beton yol korkuluğu son elemanı yapılması (A tipi)</v>
          </cell>
          <cell r="C953" t="str">
            <v>AD</v>
          </cell>
          <cell r="E953">
            <v>47253035</v>
          </cell>
          <cell r="F953">
            <v>62173272</v>
          </cell>
          <cell r="G953">
            <v>111194782</v>
          </cell>
          <cell r="H953">
            <v>152807697</v>
          </cell>
        </row>
        <row r="954">
          <cell r="A954" t="str">
            <v>50.131</v>
          </cell>
          <cell r="B954" t="str">
            <v>Beton yol korkuluğu son elemanı yapılması (B tipi)</v>
          </cell>
          <cell r="C954" t="str">
            <v>AD</v>
          </cell>
          <cell r="E954">
            <v>50728160</v>
          </cell>
          <cell r="F954">
            <v>66703342</v>
          </cell>
          <cell r="G954">
            <v>119539830</v>
          </cell>
          <cell r="H954">
            <v>164099052</v>
          </cell>
        </row>
        <row r="955">
          <cell r="A955" t="str">
            <v>50.132</v>
          </cell>
          <cell r="B955" t="str">
            <v>A tipi beton yol korkuluğu ve son elemanın yerine konulması</v>
          </cell>
          <cell r="C955" t="str">
            <v>MT</v>
          </cell>
          <cell r="E955">
            <v>6857611</v>
          </cell>
          <cell r="F955">
            <v>9110458</v>
          </cell>
          <cell r="G955">
            <v>15361630</v>
          </cell>
          <cell r="H955">
            <v>21334947</v>
          </cell>
        </row>
        <row r="956">
          <cell r="A956" t="str">
            <v>50.133</v>
          </cell>
          <cell r="B956" t="str">
            <v>B tipi beton yol korkuluğu ve son elemanın yerine konulması</v>
          </cell>
          <cell r="C956" t="str">
            <v>MT</v>
          </cell>
          <cell r="E956">
            <v>6927113</v>
          </cell>
          <cell r="F956">
            <v>9201060</v>
          </cell>
          <cell r="G956">
            <v>15528531</v>
          </cell>
          <cell r="H956">
            <v>21560773</v>
          </cell>
        </row>
        <row r="957">
          <cell r="A957" t="str">
            <v>5000/Tİ</v>
          </cell>
          <cell r="B957" t="str">
            <v>Trafik işaretlemesinin yapılması ve emniyet tedbirlerinin alınması</v>
          </cell>
          <cell r="C957" t="str">
            <v>KM</v>
          </cell>
          <cell r="E957">
            <v>33454400</v>
          </cell>
          <cell r="F957">
            <v>45180000</v>
          </cell>
          <cell r="G957">
            <v>69090000</v>
          </cell>
        </row>
        <row r="958">
          <cell r="A958" t="str">
            <v>5001/KT</v>
          </cell>
          <cell r="B958" t="str">
            <v>Trafik işaretleme malzemelerinin temini, işaretlemenin yapılması ve emniyet tedbirlerinin alınması</v>
          </cell>
          <cell r="C958" t="str">
            <v>KM</v>
          </cell>
          <cell r="E958">
            <v>38894175</v>
          </cell>
          <cell r="F958">
            <v>51626176</v>
          </cell>
          <cell r="G958">
            <v>80818671</v>
          </cell>
          <cell r="H958">
            <v>113713036</v>
          </cell>
        </row>
        <row r="959">
          <cell r="A959" t="str">
            <v>5001/TM</v>
          </cell>
          <cell r="B959" t="str">
            <v>Trafik işaretlemesi için lüzumlu her türlü malzemenin temini</v>
          </cell>
          <cell r="C959" t="str">
            <v>KM</v>
          </cell>
          <cell r="E959">
            <v>5439775</v>
          </cell>
          <cell r="F959">
            <v>6446176</v>
          </cell>
          <cell r="G959">
            <v>11728671</v>
          </cell>
          <cell r="H959">
            <v>15593036</v>
          </cell>
        </row>
        <row r="960">
          <cell r="A960" t="str">
            <v>5002/TS</v>
          </cell>
          <cell r="B960" t="str">
            <v>Trafik emniyetinin sinyalizasyon tertibatı ile sağlanması</v>
          </cell>
          <cell r="C960" t="str">
            <v>KM</v>
          </cell>
          <cell r="E960">
            <v>36799840</v>
          </cell>
          <cell r="F960">
            <v>49698000</v>
          </cell>
          <cell r="G960">
            <v>75999000</v>
          </cell>
          <cell r="H960">
            <v>107932000</v>
          </cell>
        </row>
        <row r="961">
          <cell r="A961" t="str">
            <v>5003/A</v>
          </cell>
          <cell r="B961" t="str">
            <v>Banketin silindir ile sıkıştırılması</v>
          </cell>
          <cell r="C961" t="str">
            <v>M3</v>
          </cell>
          <cell r="E961">
            <v>277538</v>
          </cell>
          <cell r="F961">
            <v>367712</v>
          </cell>
          <cell r="G961">
            <v>627555</v>
          </cell>
          <cell r="H961">
            <v>873281</v>
          </cell>
        </row>
        <row r="962">
          <cell r="A962" t="str">
            <v>5004/A</v>
          </cell>
          <cell r="B962" t="str">
            <v>Düşük banket malzemesinin makine veya el ile serilmesi ve düzeltilmesi</v>
          </cell>
          <cell r="C962" t="str">
            <v>M3</v>
          </cell>
          <cell r="E962">
            <v>193348</v>
          </cell>
          <cell r="F962">
            <v>256408</v>
          </cell>
          <cell r="G962">
            <v>436551</v>
          </cell>
          <cell r="H962">
            <v>604187</v>
          </cell>
        </row>
        <row r="963">
          <cell r="A963" t="str">
            <v>6000</v>
          </cell>
          <cell r="B963" t="str">
            <v>Ocak taşından konkasörle kırılmış malzeme ile alttemel yapılması</v>
          </cell>
          <cell r="C963" t="str">
            <v>M3</v>
          </cell>
          <cell r="E963">
            <v>4944853</v>
          </cell>
          <cell r="F963">
            <v>6591431</v>
          </cell>
          <cell r="G963">
            <v>10848266</v>
          </cell>
          <cell r="H963">
            <v>15138216</v>
          </cell>
        </row>
        <row r="964">
          <cell r="A964" t="str">
            <v>6010</v>
          </cell>
          <cell r="B964" t="str">
            <v>Elenmiş çakıllı malzeme ile alttemel yapılması</v>
          </cell>
          <cell r="C964" t="str">
            <v>M3</v>
          </cell>
          <cell r="E964">
            <v>1168831</v>
          </cell>
          <cell r="F964">
            <v>1537858</v>
          </cell>
          <cell r="G964">
            <v>2723323</v>
          </cell>
          <cell r="H964">
            <v>3778435</v>
          </cell>
        </row>
        <row r="965">
          <cell r="A965" t="str">
            <v>6020</v>
          </cell>
          <cell r="B965" t="str">
            <v>Kırılmamış ve elenmemiş çakıllı (Tüvenan) malzeme ile alttemel yapılması</v>
          </cell>
          <cell r="C965" t="str">
            <v>M3</v>
          </cell>
          <cell r="D965">
            <v>6597</v>
          </cell>
          <cell r="E965">
            <v>745922</v>
          </cell>
          <cell r="F965">
            <v>984837</v>
          </cell>
          <cell r="G965">
            <v>1713967</v>
          </cell>
          <cell r="H965">
            <v>2377195</v>
          </cell>
        </row>
        <row r="966">
          <cell r="A966" t="str">
            <v>6030</v>
          </cell>
          <cell r="B966" t="str">
            <v>Elenmemiş çakıllı malzemeden konkasörle kırılmış malzeme ile alttemel yapılması</v>
          </cell>
          <cell r="C966" t="str">
            <v>M3</v>
          </cell>
          <cell r="E966">
            <v>1419463</v>
          </cell>
          <cell r="F966">
            <v>1859313</v>
          </cell>
          <cell r="G966">
            <v>3259250</v>
          </cell>
          <cell r="H966">
            <v>4478963</v>
          </cell>
        </row>
        <row r="967">
          <cell r="A967" t="str">
            <v>6040</v>
          </cell>
          <cell r="B967" t="str">
            <v>Temel yapılması [Kırılmış ve elenmiş ocak taşı ile (1")]</v>
          </cell>
          <cell r="C967" t="str">
            <v>M3</v>
          </cell>
          <cell r="E967">
            <v>6151707</v>
          </cell>
          <cell r="F967">
            <v>8190143</v>
          </cell>
          <cell r="G967">
            <v>13577755</v>
          </cell>
          <cell r="H967">
            <v>18940775</v>
          </cell>
        </row>
        <row r="968">
          <cell r="A968" t="str">
            <v>6050</v>
          </cell>
          <cell r="B968" t="str">
            <v>Temel yapılması [Kırılmış ve elenmiş malzeme ile (1")] (Kırılmış malzeme ocak taşından)</v>
          </cell>
          <cell r="C968" t="str">
            <v>M3</v>
          </cell>
          <cell r="E968">
            <v>3427730</v>
          </cell>
          <cell r="F968">
            <v>4549961</v>
          </cell>
          <cell r="G968">
            <v>7674028</v>
          </cell>
          <cell r="H968">
            <v>10690357</v>
          </cell>
        </row>
        <row r="969">
          <cell r="A969" t="str">
            <v>6060</v>
          </cell>
          <cell r="B969" t="str">
            <v>Temel yapılması [Elenmiş, elenmiş ve kırılmış malzeme ile (1")] (Kırılmış malzeme dere çakılından)</v>
          </cell>
          <cell r="C969" t="str">
            <v>M3</v>
          </cell>
          <cell r="E969">
            <v>2432887</v>
          </cell>
          <cell r="F969">
            <v>3207117</v>
          </cell>
          <cell r="G969">
            <v>5582941</v>
          </cell>
          <cell r="H969">
            <v>7742972</v>
          </cell>
        </row>
        <row r="970">
          <cell r="A970" t="str">
            <v>6070</v>
          </cell>
          <cell r="B970" t="str">
            <v>Temel yapılması [Kırılmış ocak taşı ile (1")]</v>
          </cell>
          <cell r="C970" t="str">
            <v>M3</v>
          </cell>
          <cell r="D970">
            <v>49647</v>
          </cell>
          <cell r="E970">
            <v>5943648</v>
          </cell>
          <cell r="F970">
            <v>7916223</v>
          </cell>
          <cell r="G970">
            <v>13093656</v>
          </cell>
          <cell r="H970">
            <v>18271243</v>
          </cell>
        </row>
        <row r="971">
          <cell r="A971" t="str">
            <v>6080</v>
          </cell>
          <cell r="B971" t="str">
            <v>Temel yapılması (Elenmiş malzeme ve ocak taşından konkasörle kırılmış malzeme ile)</v>
          </cell>
          <cell r="C971" t="str">
            <v>M3</v>
          </cell>
          <cell r="E971">
            <v>3354910</v>
          </cell>
          <cell r="F971">
            <v>4454088</v>
          </cell>
          <cell r="G971">
            <v>7504595</v>
          </cell>
          <cell r="H971">
            <v>10456021</v>
          </cell>
        </row>
        <row r="972">
          <cell r="A972" t="str">
            <v>6090</v>
          </cell>
          <cell r="B972" t="str">
            <v>Temel yapılması (Elenmiş malzeme ve elenmiş çakıldan konkasörle kırılmış malzeme ile-Kırılmış malzeme dereden)</v>
          </cell>
          <cell r="C972" t="str">
            <v>M3</v>
          </cell>
          <cell r="E972">
            <v>2360067</v>
          </cell>
          <cell r="F972">
            <v>3111245</v>
          </cell>
          <cell r="G972">
            <v>5413506</v>
          </cell>
          <cell r="H972">
            <v>7508636</v>
          </cell>
        </row>
        <row r="973">
          <cell r="A973" t="str">
            <v>6100/2</v>
          </cell>
          <cell r="B973" t="str">
            <v>Plent-miks temel yapılması (Kırılmış ve elenmiş ocak taşı ile - Astarlı)</v>
          </cell>
          <cell r="C973" t="str">
            <v>TN</v>
          </cell>
          <cell r="E973">
            <v>5624837</v>
          </cell>
          <cell r="F973">
            <v>7446501</v>
          </cell>
          <cell r="G973">
            <v>12506045</v>
          </cell>
          <cell r="H973">
            <v>17378005</v>
          </cell>
        </row>
        <row r="974">
          <cell r="A974" t="str">
            <v>6100/3</v>
          </cell>
          <cell r="B974" t="str">
            <v>Plent-miks temel yapılması(Kırılmış ve elenmiş ocak taşı ile)</v>
          </cell>
          <cell r="C974" t="str">
            <v>TN</v>
          </cell>
          <cell r="E974">
            <v>5609995</v>
          </cell>
          <cell r="F974">
            <v>7426931</v>
          </cell>
          <cell r="G974">
            <v>12471816</v>
          </cell>
          <cell r="H974">
            <v>17330231</v>
          </cell>
        </row>
        <row r="975">
          <cell r="A975" t="str">
            <v>6100/3-1</v>
          </cell>
          <cell r="B975" t="str">
            <v>Plent-miks alttemel yapılması (Kırılmış ocak taşı İle)</v>
          </cell>
          <cell r="C975" t="str">
            <v>TN</v>
          </cell>
          <cell r="E975">
            <v>4695987</v>
          </cell>
          <cell r="F975">
            <v>6221418</v>
          </cell>
          <cell r="G975">
            <v>10367171</v>
          </cell>
          <cell r="H975">
            <v>14396481</v>
          </cell>
        </row>
        <row r="976">
          <cell r="A976" t="str">
            <v>6115</v>
          </cell>
          <cell r="B976" t="str">
            <v>Plent-miks banket yapılması (Kırılmış ve elenmiş ocak taşı ile)</v>
          </cell>
          <cell r="C976" t="str">
            <v>TN</v>
          </cell>
          <cell r="E976">
            <v>4534281</v>
          </cell>
          <cell r="F976">
            <v>6013380</v>
          </cell>
          <cell r="G976">
            <v>10069031</v>
          </cell>
          <cell r="H976">
            <v>14009653</v>
          </cell>
        </row>
        <row r="977">
          <cell r="A977" t="str">
            <v>6115/1</v>
          </cell>
          <cell r="B977" t="str">
            <v>Plent-miks banket yapılması (Kırılmış ve elenmiş ocak taşı ile) (Serme finişerle)</v>
          </cell>
          <cell r="C977" t="str">
            <v>TN</v>
          </cell>
          <cell r="E977">
            <v>5609995</v>
          </cell>
          <cell r="F977">
            <v>7426931</v>
          </cell>
          <cell r="G977">
            <v>12471816</v>
          </cell>
          <cell r="H977">
            <v>17330231</v>
          </cell>
        </row>
        <row r="978">
          <cell r="A978" t="str">
            <v>6125</v>
          </cell>
          <cell r="B978" t="str">
            <v>Plent-miks temel yapılması (Kırılmış ve elenmiş malzeme ile-Astarlı) (Tip-1)</v>
          </cell>
          <cell r="C978" t="str">
            <v>TN</v>
          </cell>
          <cell r="E978">
            <v>3500485</v>
          </cell>
          <cell r="F978">
            <v>4593805</v>
          </cell>
          <cell r="G978">
            <v>7959363</v>
          </cell>
          <cell r="H978">
            <v>10992021</v>
          </cell>
        </row>
        <row r="979">
          <cell r="A979" t="str">
            <v>6126</v>
          </cell>
          <cell r="B979" t="str">
            <v>Plent-miks temel yapılması (Kırılmış ve elenmiş malzeme ile)( Tip-1)</v>
          </cell>
          <cell r="C979" t="str">
            <v>TN</v>
          </cell>
          <cell r="E979">
            <v>3484158</v>
          </cell>
          <cell r="F979">
            <v>4572281</v>
          </cell>
          <cell r="G979">
            <v>7921703</v>
          </cell>
          <cell r="H979">
            <v>10939447</v>
          </cell>
        </row>
        <row r="980">
          <cell r="A980" t="str">
            <v>6135</v>
          </cell>
          <cell r="B980" t="str">
            <v>Plent-miks banket yapılması (Kırılmış ve elenmiş malzeme ile) (Tip-1)</v>
          </cell>
          <cell r="C980" t="str">
            <v>TN</v>
          </cell>
          <cell r="E980">
            <v>2408445</v>
          </cell>
          <cell r="F980">
            <v>3158730</v>
          </cell>
          <cell r="G980">
            <v>5518918</v>
          </cell>
          <cell r="H980">
            <v>7618870</v>
          </cell>
        </row>
        <row r="981">
          <cell r="A981" t="str">
            <v>6145</v>
          </cell>
          <cell r="B981" t="str">
            <v>Plent-miks temel yapılması (Kırılmış ve elenmiş malzeme ile - Astarlı) (Tip-2)</v>
          </cell>
          <cell r="C981" t="str">
            <v>TN</v>
          </cell>
          <cell r="E981">
            <v>3662016</v>
          </cell>
          <cell r="F981">
            <v>4788668</v>
          </cell>
          <cell r="G981">
            <v>8308107</v>
          </cell>
          <cell r="H981">
            <v>11485440</v>
          </cell>
        </row>
        <row r="982">
          <cell r="A982" t="str">
            <v>6146</v>
          </cell>
          <cell r="B982" t="str">
            <v>Plent-miks temel yapılması (Kırılmış ve elenmiş malzeme ile) (Tip-2)</v>
          </cell>
          <cell r="C982" t="str">
            <v>TN</v>
          </cell>
          <cell r="E982">
            <v>3645690</v>
          </cell>
          <cell r="F982">
            <v>4788668</v>
          </cell>
          <cell r="G982">
            <v>8270447</v>
          </cell>
          <cell r="H982">
            <v>11432866</v>
          </cell>
        </row>
        <row r="983">
          <cell r="A983" t="str">
            <v>6155</v>
          </cell>
          <cell r="B983" t="str">
            <v>Plent-miks banket yapılması (Kırılmış ve elenmiş malzeme ile) (Tip-2)</v>
          </cell>
          <cell r="C983" t="str">
            <v>TN</v>
          </cell>
          <cell r="E983">
            <v>2569976</v>
          </cell>
          <cell r="F983">
            <v>3375117</v>
          </cell>
          <cell r="G983">
            <v>5867662</v>
          </cell>
          <cell r="H983">
            <v>8112288</v>
          </cell>
        </row>
        <row r="984">
          <cell r="A984" t="str">
            <v>6200</v>
          </cell>
          <cell r="B984" t="str">
            <v>Bitümlü sıcak temel yapılması (Kırılmış ve elenmiş ocak taşı ile)</v>
          </cell>
          <cell r="C984" t="str">
            <v>TN</v>
          </cell>
          <cell r="E984">
            <v>10302703</v>
          </cell>
          <cell r="F984">
            <v>13548827</v>
          </cell>
          <cell r="G984">
            <v>23582823</v>
          </cell>
          <cell r="H984">
            <v>32895388</v>
          </cell>
        </row>
        <row r="985">
          <cell r="A985" t="str">
            <v>6200/A</v>
          </cell>
          <cell r="B985" t="str">
            <v>Bitümlü sıcak temel yapılması (Kırılmış ve elenmiş ocak taşı ile) (Astarsız temel üzerine)</v>
          </cell>
          <cell r="C985" t="str">
            <v>TN</v>
          </cell>
          <cell r="E985">
            <v>10101271</v>
          </cell>
          <cell r="F985">
            <v>13309057</v>
          </cell>
          <cell r="G985">
            <v>23092265</v>
          </cell>
          <cell r="H985">
            <v>32213907</v>
          </cell>
        </row>
        <row r="986">
          <cell r="A986" t="str">
            <v>6200/M</v>
          </cell>
          <cell r="B986" t="str">
            <v>14 cm. sıkışmış kalınlıkta 1 m2 asfalt betonu bitümlü sıcak temel tabakası yapılması (Kırılmış ve elenmiş ocak taşı ile)</v>
          </cell>
          <cell r="C986" t="str">
            <v>M2</v>
          </cell>
          <cell r="E986">
            <v>3277886</v>
          </cell>
          <cell r="F986">
            <v>4314626</v>
          </cell>
          <cell r="G986">
            <v>7505661</v>
          </cell>
          <cell r="H986">
            <v>10475832</v>
          </cell>
        </row>
        <row r="987">
          <cell r="A987" t="str">
            <v>6200/M-A</v>
          </cell>
          <cell r="B987" t="str">
            <v>14 cm. sıkışmış kalınlıkta 1 m2 asfalt betonu bitümlü sıcak temel tabakası yapılması (Kırılmış ve elenmiş ocak taşı ile) (Astarsız temel üzerine)</v>
          </cell>
          <cell r="C987" t="str">
            <v>M2</v>
          </cell>
          <cell r="E987">
            <v>3231582</v>
          </cell>
          <cell r="F987">
            <v>4259507</v>
          </cell>
          <cell r="G987">
            <v>7392890</v>
          </cell>
          <cell r="H987">
            <v>10319172</v>
          </cell>
        </row>
        <row r="988">
          <cell r="A988" t="str">
            <v>6202/M</v>
          </cell>
          <cell r="B988" t="str">
            <v>12 cm. sıkışmış kalınlıkta 1 m2 asfalt betonu bitümlü sıcak temel tabakası yapılması (Kırılmış ve elenmiş ocak taşı ile)</v>
          </cell>
          <cell r="C988" t="str">
            <v>M2</v>
          </cell>
          <cell r="E988">
            <v>2816638</v>
          </cell>
          <cell r="F988">
            <v>3706665</v>
          </cell>
          <cell r="G988">
            <v>6450437</v>
          </cell>
          <cell r="H988">
            <v>9002931</v>
          </cell>
        </row>
        <row r="989">
          <cell r="A989" t="str">
            <v>6202/M-A</v>
          </cell>
          <cell r="B989" t="str">
            <v>12 cm. sıkışmış kalınlıkta 1 m2 asfalt betonu bitümlü sıcak temel tabakası yapılması(Kırılmış ve elenmiş ocak taşı ile) (Astarsız temel üzerine)</v>
          </cell>
          <cell r="C989" t="str">
            <v>M2</v>
          </cell>
          <cell r="E989">
            <v>2770336</v>
          </cell>
          <cell r="F989">
            <v>3651551</v>
          </cell>
          <cell r="G989">
            <v>6337675</v>
          </cell>
          <cell r="H989">
            <v>8846283</v>
          </cell>
        </row>
        <row r="990">
          <cell r="A990" t="str">
            <v>6203/M</v>
          </cell>
          <cell r="B990" t="str">
            <v>11 cm. sıkışmış kalınlıkta 1 m2 asfalt betonu bitümlü sıcak temel tabakası yapılması (Kırılmış ve elenmiş ocak taşı ile)</v>
          </cell>
          <cell r="C990" t="str">
            <v>M2</v>
          </cell>
          <cell r="E990">
            <v>2636171</v>
          </cell>
          <cell r="F990">
            <v>3468795</v>
          </cell>
          <cell r="G990">
            <v>6037575</v>
          </cell>
          <cell r="H990">
            <v>8426652</v>
          </cell>
        </row>
        <row r="991">
          <cell r="A991" t="str">
            <v>6203/M-A</v>
          </cell>
          <cell r="B991" t="str">
            <v>11 cm. sıkışmış kalınlıkta 1 m2 asfalt betonu bitümlü sıcak temel tabakası yapılması (Kırılmış ve elenmiş ocak taşı ile) (Astarsız temel üzerine)</v>
          </cell>
          <cell r="C991" t="str">
            <v>M2</v>
          </cell>
          <cell r="E991">
            <v>2589867</v>
          </cell>
          <cell r="F991">
            <v>3413676</v>
          </cell>
          <cell r="G991">
            <v>5924802</v>
          </cell>
          <cell r="H991">
            <v>8269991</v>
          </cell>
        </row>
        <row r="992">
          <cell r="A992" t="str">
            <v>6205/M</v>
          </cell>
          <cell r="B992" t="str">
            <v>10 cm. sıkışmış kalınlıkta 1 m2 asfalt betonu bitümlü sıcak temel tabakası yapılması (Kırılmış ve elenmiş ocak taşı ile)</v>
          </cell>
          <cell r="C992" t="str">
            <v>M2</v>
          </cell>
          <cell r="E992">
            <v>2355421</v>
          </cell>
          <cell r="F992">
            <v>3098743</v>
          </cell>
          <cell r="G992">
            <v>5395281</v>
          </cell>
          <cell r="H992">
            <v>7530130</v>
          </cell>
        </row>
        <row r="993">
          <cell r="A993" t="str">
            <v>6205/M-A</v>
          </cell>
          <cell r="B993" t="str">
            <v>10 cm. sıkışmış kalınlıkta 1 m2 asfalt betonu bitümlü sıcak temel tabakası yapılması (Kırılmış ve elenmiş ocak taşı ile) (Astarsız  temel üzerine)</v>
          </cell>
          <cell r="C993" t="str">
            <v>M2</v>
          </cell>
          <cell r="E993">
            <v>2309116</v>
          </cell>
          <cell r="F993">
            <v>3043625</v>
          </cell>
          <cell r="G993">
            <v>5282511</v>
          </cell>
          <cell r="H993">
            <v>7373470</v>
          </cell>
        </row>
        <row r="994">
          <cell r="A994" t="str">
            <v>6206/M</v>
          </cell>
          <cell r="B994" t="str">
            <v>9 cm. sıkışmış kalınlıkta 1 m2 asfalt betonu bitümlü sıcak temel tabakası yapılması (Kırılmış ve elenmiş ocak taşı ile)</v>
          </cell>
          <cell r="C994" t="str">
            <v>M2</v>
          </cell>
          <cell r="E994">
            <v>2124798</v>
          </cell>
          <cell r="F994">
            <v>2794763</v>
          </cell>
          <cell r="G994">
            <v>4867676</v>
          </cell>
          <cell r="H994">
            <v>6793687</v>
          </cell>
        </row>
        <row r="995">
          <cell r="A995" t="str">
            <v>6206/M-A</v>
          </cell>
          <cell r="B995" t="str">
            <v>9 cm. sıkışmış kalınlıkta 1 m2 asfalt betonu bitümlü sıcak temel tabakası yapılması (Kırılmış ve elenmiş ocak taşı ile) (Astarsız temel üzerine)</v>
          </cell>
          <cell r="C995" t="str">
            <v>M2</v>
          </cell>
          <cell r="E995">
            <v>2078495</v>
          </cell>
          <cell r="F995">
            <v>2739646</v>
          </cell>
          <cell r="G995">
            <v>4754903</v>
          </cell>
          <cell r="H995">
            <v>6637027</v>
          </cell>
        </row>
        <row r="996">
          <cell r="A996" t="str">
            <v>6207/M</v>
          </cell>
          <cell r="B996" t="str">
            <v>8 cm. sıkışmış kalınlıkta 1 m2 asfalt betonu bitümlü sıcak temel tabakası yapılması (Kırılmış ve elenmiş ocak taşı ile)</v>
          </cell>
          <cell r="C996" t="str">
            <v>M2</v>
          </cell>
          <cell r="E996">
            <v>1894187</v>
          </cell>
          <cell r="F996">
            <v>2490803</v>
          </cell>
          <cell r="G996">
            <v>4340097</v>
          </cell>
          <cell r="H996">
            <v>6057285</v>
          </cell>
        </row>
        <row r="997">
          <cell r="A997" t="str">
            <v>6207/M-A</v>
          </cell>
          <cell r="B997" t="str">
            <v>8 cm. sıkışmış kalınlıkta 1 m2 asfalt betonu bitümlü sıcak temel tabakası yapılması (Kırılmış ve elenmiş ocak taşı ile) (Astarsız temel üzerine)</v>
          </cell>
          <cell r="C997" t="str">
            <v>M2</v>
          </cell>
          <cell r="E997">
            <v>1847882</v>
          </cell>
          <cell r="F997">
            <v>2435683</v>
          </cell>
          <cell r="G997">
            <v>4227325</v>
          </cell>
          <cell r="H997">
            <v>5900623</v>
          </cell>
        </row>
        <row r="998">
          <cell r="A998" t="str">
            <v>6210</v>
          </cell>
          <cell r="B998" t="str">
            <v>Bitümlü sıcak temel yapılması (Kırılmış ve elenmiş malzeme ile) (Tip-1)</v>
          </cell>
          <cell r="C998" t="str">
            <v>TN</v>
          </cell>
          <cell r="E998">
            <v>8288572</v>
          </cell>
          <cell r="F998">
            <v>10841732</v>
          </cell>
          <cell r="G998">
            <v>19288451</v>
          </cell>
          <cell r="H998">
            <v>26860327</v>
          </cell>
        </row>
        <row r="999">
          <cell r="A999" t="str">
            <v>6210/A</v>
          </cell>
          <cell r="B999" t="str">
            <v>Bitümlü sıcak temel yapılması (Kırılmış ve elenmiş malzeme ile) (Astarsız temel üzerine) (Tip-1)</v>
          </cell>
          <cell r="C999" t="str">
            <v>TN</v>
          </cell>
          <cell r="E999">
            <v>8091741</v>
          </cell>
          <cell r="F999">
            <v>10607435</v>
          </cell>
          <cell r="G999">
            <v>18809095</v>
          </cell>
          <cell r="H999">
            <v>26194408</v>
          </cell>
        </row>
        <row r="1000">
          <cell r="A1000" t="str">
            <v>6210/M</v>
          </cell>
          <cell r="B1000" t="str">
            <v>14 cm.sıkışmış kalınlıkta 1 m2 asfalt betonu bitümlü sıcak temel tabakası yapılması (Kırılmış ve elenmiş malzeme ile) (Tip-1)</v>
          </cell>
          <cell r="C1000" t="str">
            <v>M2</v>
          </cell>
          <cell r="E1000">
            <v>2685557</v>
          </cell>
          <cell r="F1000">
            <v>3516465</v>
          </cell>
          <cell r="G1000">
            <v>6254012</v>
          </cell>
          <cell r="H1000">
            <v>8715281</v>
          </cell>
        </row>
        <row r="1001">
          <cell r="A1001" t="str">
            <v>6210/M-A</v>
          </cell>
          <cell r="B1001" t="str">
            <v>14 cm. sıkışmış kalınlıkta 1 m2 asfalt betonu bitümlü sıcak temel tabakası yapılması (Kırılmış ve elenmiş malzeme ile)(Astarsız temel üzerine)(Tip-1)</v>
          </cell>
          <cell r="C1001" t="str">
            <v>M2</v>
          </cell>
          <cell r="E1001">
            <v>2639252</v>
          </cell>
          <cell r="F1001">
            <v>3461347</v>
          </cell>
          <cell r="G1001">
            <v>6141241</v>
          </cell>
          <cell r="H1001">
            <v>8558620</v>
          </cell>
        </row>
        <row r="1002">
          <cell r="A1002" t="str">
            <v>6220</v>
          </cell>
          <cell r="B1002" t="str">
            <v>Bitümlü sıcak temel yapılması (Kırılmış ve elenmiş malzeme ile) (Tip-2)</v>
          </cell>
          <cell r="C1002" t="str">
            <v>TN</v>
          </cell>
          <cell r="E1002">
            <v>8493926</v>
          </cell>
          <cell r="F1002">
            <v>11114422</v>
          </cell>
          <cell r="G1002">
            <v>19747167</v>
          </cell>
          <cell r="H1002">
            <v>27503847</v>
          </cell>
        </row>
        <row r="1003">
          <cell r="A1003" t="str">
            <v>6220/A</v>
          </cell>
          <cell r="B1003" t="str">
            <v>Bitümlü sıcak temel yapılması (Kırılmış ve elenmiş malzeme ile) (Astarsız temel üzerine) (Tip-2)</v>
          </cell>
          <cell r="C1003" t="str">
            <v>TN</v>
          </cell>
          <cell r="E1003">
            <v>8296343</v>
          </cell>
          <cell r="F1003">
            <v>10879136</v>
          </cell>
          <cell r="G1003">
            <v>19266060</v>
          </cell>
          <cell r="H1003">
            <v>26835455</v>
          </cell>
        </row>
        <row r="1004">
          <cell r="A1004" t="str">
            <v>6300</v>
          </cell>
          <cell r="B1004" t="str">
            <v>Asfalt betonu binder tabakası yapılması (Kırılmış ve elenmiş ocak taşı ile)</v>
          </cell>
          <cell r="C1004" t="str">
            <v>TN</v>
          </cell>
          <cell r="E1004">
            <v>10570383</v>
          </cell>
          <cell r="F1004">
            <v>13886355</v>
          </cell>
          <cell r="G1004">
            <v>24212753</v>
          </cell>
          <cell r="H1004">
            <v>33776020</v>
          </cell>
        </row>
        <row r="1005">
          <cell r="A1005" t="str">
            <v>6300/M</v>
          </cell>
          <cell r="B1005" t="str">
            <v>7 cm. sıkışmış kalınlıkta 1 m2 asfalt betonu binder tabakası yapılması (Kırılmış ve elenmiş ocak taşı ile)</v>
          </cell>
          <cell r="C1005" t="str">
            <v>M2</v>
          </cell>
          <cell r="E1005">
            <v>1756072</v>
          </cell>
          <cell r="F1005">
            <v>2308793</v>
          </cell>
          <cell r="G1005">
            <v>4024165</v>
          </cell>
          <cell r="H1005">
            <v>5616843</v>
          </cell>
        </row>
        <row r="1006">
          <cell r="A1006" t="str">
            <v>6304/M</v>
          </cell>
          <cell r="B1006" t="str">
            <v>6 cm. sıkışmış kalınlıkta 1 m2 asfalt betonu binder tabakası yapılması (Kırılmış ve elenmiş ocak taşı ile)</v>
          </cell>
          <cell r="C1006" t="str">
            <v>M2</v>
          </cell>
          <cell r="E1006">
            <v>1512240</v>
          </cell>
          <cell r="F1006">
            <v>1987401</v>
          </cell>
          <cell r="G1006">
            <v>3466333</v>
          </cell>
          <cell r="H1006">
            <v>4838136</v>
          </cell>
        </row>
        <row r="1007">
          <cell r="A1007" t="str">
            <v>6305/M</v>
          </cell>
          <cell r="B1007" t="str">
            <v>5 cm. sıkışmış kalınlıkta 1 m2 asfalt betonu binder tabakası yapılması (Kırılmış ve elenmiş ocak taşı ile)</v>
          </cell>
          <cell r="C1007" t="str">
            <v>M2</v>
          </cell>
          <cell r="E1007">
            <v>1268411</v>
          </cell>
          <cell r="F1007">
            <v>1666011</v>
          </cell>
          <cell r="G1007">
            <v>2908507</v>
          </cell>
          <cell r="H1007">
            <v>4059436</v>
          </cell>
        </row>
        <row r="1008">
          <cell r="A1008" t="str">
            <v>6308/M</v>
          </cell>
          <cell r="B1008" t="str">
            <v>8 cm. sıkışmış kalınlıkta 1 m2 asfalt betonu binder tabakası yapılması (Kırılmış ve elenmiş ocak taşı ile)</v>
          </cell>
          <cell r="C1008" t="str">
            <v>M2</v>
          </cell>
          <cell r="E1008">
            <v>1999897</v>
          </cell>
          <cell r="F1008">
            <v>2630185</v>
          </cell>
          <cell r="G1008">
            <v>4581990</v>
          </cell>
          <cell r="H1008">
            <v>6395542</v>
          </cell>
          <cell r="I1008">
            <v>7666177</v>
          </cell>
        </row>
        <row r="1009">
          <cell r="A1009" t="str">
            <v>6310</v>
          </cell>
          <cell r="B1009" t="str">
            <v>Bakım için asfalt betonu binder karışımı temini (Kırılmış ve elenmiş ocak taşından-Karışımın taşınması müteahhit kamyonları ile)</v>
          </cell>
          <cell r="C1009" t="str">
            <v>TN</v>
          </cell>
          <cell r="D1009">
            <v>71987</v>
          </cell>
          <cell r="E1009">
            <v>8317312</v>
          </cell>
          <cell r="F1009">
            <v>10943867</v>
          </cell>
          <cell r="G1009">
            <v>19184582</v>
          </cell>
          <cell r="H1009">
            <v>26787820</v>
          </cell>
          <cell r="I1009">
            <v>32056066</v>
          </cell>
        </row>
        <row r="1010">
          <cell r="A1010" t="str">
            <v>6320</v>
          </cell>
          <cell r="B1010" t="str">
            <v>Bakım için asfalt betonu binder karışımı temini (Kırılmış ve elenmiş ocak taşından-Karışımın taşınması İdare kamyonları ile)</v>
          </cell>
          <cell r="C1010" t="str">
            <v>TN</v>
          </cell>
          <cell r="D1010">
            <v>70644</v>
          </cell>
          <cell r="E1010">
            <v>8196187</v>
          </cell>
          <cell r="F1010">
            <v>10795117</v>
          </cell>
          <cell r="G1010">
            <v>18939145</v>
          </cell>
          <cell r="H1010">
            <v>26479695</v>
          </cell>
          <cell r="I1010">
            <v>31699066</v>
          </cell>
        </row>
        <row r="1011">
          <cell r="A1011" t="str">
            <v>6330</v>
          </cell>
          <cell r="B1011" t="str">
            <v>Asfalt betonu binder tabakası yapılması (Kırılmış ve elenmiş çakıl ile)</v>
          </cell>
          <cell r="C1011" t="str">
            <v>TN</v>
          </cell>
          <cell r="E1011">
            <v>8870268</v>
          </cell>
          <cell r="F1011">
            <v>11591532</v>
          </cell>
          <cell r="G1011">
            <v>20639232</v>
          </cell>
          <cell r="H1011">
            <v>28739151</v>
          </cell>
        </row>
        <row r="1012">
          <cell r="A1012" t="str">
            <v>6340</v>
          </cell>
          <cell r="B1012" t="str">
            <v>Bakım için asfalt betonu binder karışımı temini (Kırılmış ve elenmiş çakıldan-Karışımın taşınması müteahhit kamyonları ile)</v>
          </cell>
          <cell r="C1012" t="str">
            <v>TN</v>
          </cell>
          <cell r="E1012">
            <v>6617197</v>
          </cell>
          <cell r="F1012">
            <v>8649045</v>
          </cell>
          <cell r="G1012">
            <v>15611061</v>
          </cell>
          <cell r="H1012">
            <v>21750951</v>
          </cell>
        </row>
        <row r="1013">
          <cell r="A1013" t="str">
            <v>6350</v>
          </cell>
          <cell r="B1013" t="str">
            <v>Bakım için asfalt betonu binder karışımı temini (Kırılmış ve elenmiş çakıldan-Karışımın taşınması İdare kamyonları ile)</v>
          </cell>
          <cell r="C1013" t="str">
            <v>TN</v>
          </cell>
          <cell r="E1013">
            <v>6496072</v>
          </cell>
          <cell r="F1013">
            <v>8500295</v>
          </cell>
          <cell r="G1013">
            <v>15365623</v>
          </cell>
          <cell r="H1013">
            <v>21442826</v>
          </cell>
        </row>
        <row r="1014">
          <cell r="A1014" t="str">
            <v>6400</v>
          </cell>
          <cell r="B1014" t="str">
            <v>Asfalt betonu aşınma tabakası yapılması (Kırılmış ve elenmiş ocak taşı ile)</v>
          </cell>
          <cell r="C1014" t="str">
            <v>TN</v>
          </cell>
          <cell r="E1014">
            <v>10836557</v>
          </cell>
          <cell r="F1014">
            <v>14215576</v>
          </cell>
          <cell r="G1014">
            <v>24854856</v>
          </cell>
          <cell r="H1014">
            <v>34668346</v>
          </cell>
        </row>
        <row r="1015">
          <cell r="A1015" t="str">
            <v>6400/M</v>
          </cell>
          <cell r="B1015" t="str">
            <v>5 cm. sıkışmış kalınlıkta 1 m2 asfalt betonu aşınma tabakası yapılması (Kırılmış ve elenmiş ocak taşı ile)</v>
          </cell>
          <cell r="C1015" t="str">
            <v>M2</v>
          </cell>
          <cell r="D1015">
            <v>11006</v>
          </cell>
          <cell r="E1015">
            <v>1279683</v>
          </cell>
          <cell r="F1015">
            <v>1680745</v>
          </cell>
          <cell r="G1015">
            <v>2935478</v>
          </cell>
          <cell r="H1015">
            <v>4096900</v>
          </cell>
          <cell r="I1015">
            <v>4555000</v>
          </cell>
        </row>
        <row r="1016">
          <cell r="A1016" t="str">
            <v>6400/M-M</v>
          </cell>
          <cell r="B1016" t="str">
            <v>5 cm. sıkışmış kalınlıkta 1 m2 asfalt betonu aşınma tabakası yapılması(Kırılmış ve elenmiş sert taş ve modifiye bitüm ile)</v>
          </cell>
          <cell r="C1016" t="str">
            <v>M2</v>
          </cell>
          <cell r="D1016">
            <v>12366</v>
          </cell>
          <cell r="E1016">
            <v>1433165</v>
          </cell>
          <cell r="F1016">
            <v>1882731</v>
          </cell>
          <cell r="G1016">
            <v>3291636</v>
          </cell>
          <cell r="H1016">
            <v>4590948</v>
          </cell>
          <cell r="I1016">
            <v>5509471</v>
          </cell>
        </row>
        <row r="1017">
          <cell r="A1017" t="str">
            <v>6401/M</v>
          </cell>
          <cell r="B1017" t="str">
            <v>4 cm. sıkışmış kalınlıkta 1 m2 asfalt betonu aşınma tabakası yapılması (Kırılmış ve elenmiş ocak taşı ile)</v>
          </cell>
          <cell r="C1017" t="str">
            <v>M2</v>
          </cell>
          <cell r="E1017">
            <v>1033603</v>
          </cell>
          <cell r="F1017">
            <v>1356413</v>
          </cell>
          <cell r="G1017">
            <v>2372270</v>
          </cell>
          <cell r="H1017">
            <v>3310726</v>
          </cell>
        </row>
        <row r="1018">
          <cell r="A1018" t="str">
            <v>6540</v>
          </cell>
          <cell r="B1018" t="str">
            <v>Bir tabaka astarlı bitümlü sathi kaplama yapılması (Tip-1) (Kırılmış ve elenmiş  ocak taşı ile)</v>
          </cell>
          <cell r="C1018" t="str">
            <v>DA</v>
          </cell>
          <cell r="E1018">
            <v>147258841</v>
          </cell>
          <cell r="F1018">
            <v>195251800</v>
          </cell>
          <cell r="G1018">
            <v>328063281</v>
          </cell>
          <cell r="H1018">
            <v>457289850</v>
          </cell>
        </row>
        <row r="1019">
          <cell r="A1019" t="str">
            <v>6550</v>
          </cell>
          <cell r="B1019" t="str">
            <v>Bir tabaka astarlı bitümlü sathi kaplama yapılması (Tip-1) (Kırılmış ve elenmiş çakıl ile)</v>
          </cell>
          <cell r="C1019" t="str">
            <v>DA</v>
          </cell>
          <cell r="E1019">
            <v>109045375</v>
          </cell>
          <cell r="F1019">
            <v>143326277</v>
          </cell>
          <cell r="G1019">
            <v>250028881</v>
          </cell>
          <cell r="H1019">
            <v>346885825</v>
          </cell>
        </row>
        <row r="1020">
          <cell r="A1020" t="str">
            <v>6560</v>
          </cell>
          <cell r="B1020" t="str">
            <v>İki tabaka astarlı bitümlü sathi kaplama yapılması (Tip-1 + Tip-3) (Kırılmış ve elenmiş ocak taşı ile)</v>
          </cell>
          <cell r="C1020" t="str">
            <v>DA</v>
          </cell>
          <cell r="E1020">
            <v>271756212</v>
          </cell>
          <cell r="F1020">
            <v>360368351</v>
          </cell>
          <cell r="G1020">
            <v>605091960</v>
          </cell>
          <cell r="H1020">
            <v>843318070</v>
          </cell>
        </row>
        <row r="1021">
          <cell r="A1021" t="str">
            <v>6570</v>
          </cell>
          <cell r="B1021" t="str">
            <v>İki tabaka astarlı bitümlü sathi kaplama yapılması (Tip-1 + Tip-3) (Kırılmış ve elenmiş çakıl ile)</v>
          </cell>
          <cell r="C1021" t="str">
            <v>DA</v>
          </cell>
          <cell r="E1021">
            <v>199511481</v>
          </cell>
          <cell r="F1021">
            <v>262203026</v>
          </cell>
          <cell r="G1021">
            <v>457544721</v>
          </cell>
          <cell r="H1021">
            <v>634569931</v>
          </cell>
        </row>
        <row r="1022">
          <cell r="A1022" t="str">
            <v>6580</v>
          </cell>
          <cell r="B1022" t="str">
            <v>Bir tabaka  astarsız bitümlü sathi kaplama yapılması (Tip-2) (Kırılmış ve elenmiş ocak taşı ile)</v>
          </cell>
          <cell r="C1022" t="str">
            <v>DA</v>
          </cell>
          <cell r="E1022">
            <v>128792065</v>
          </cell>
          <cell r="F1022">
            <v>170787528</v>
          </cell>
          <cell r="G1022">
            <v>286428812</v>
          </cell>
          <cell r="H1022">
            <v>399073710</v>
          </cell>
        </row>
        <row r="1023">
          <cell r="A1023" t="str">
            <v>6590</v>
          </cell>
          <cell r="B1023" t="str">
            <v>Bir tabaka astarsız bitümlü sathi kaplama yapılması (Tip-2) (Kırılmış ve elenmiş çakıl ile)</v>
          </cell>
          <cell r="C1023" t="str">
            <v>DA</v>
          </cell>
          <cell r="E1023">
            <v>94760800</v>
          </cell>
          <cell r="F1023">
            <v>124547726</v>
          </cell>
          <cell r="G1023">
            <v>216915973</v>
          </cell>
          <cell r="H1023">
            <v>300729596</v>
          </cell>
        </row>
        <row r="1024">
          <cell r="A1024" t="str">
            <v>727-504</v>
          </cell>
          <cell r="B1024" t="str">
            <v xml:space="preserve">1 KV yeraltı kabloları ile kolon ve besleme hattı  tesisi  YVV (NYY) 2x6 mm2 </v>
          </cell>
          <cell r="C1024" t="str">
            <v>MT</v>
          </cell>
          <cell r="G1024">
            <v>1650825</v>
          </cell>
        </row>
        <row r="1025">
          <cell r="A1025" t="str">
            <v>727-507</v>
          </cell>
          <cell r="B1025" t="str">
            <v xml:space="preserve">1 KV yeraltı kabloları ile kolon ve besleme hattı  tesisi  YVV (NYY) 2x1,5 mm2 </v>
          </cell>
          <cell r="C1025" t="str">
            <v>MT</v>
          </cell>
          <cell r="G1025">
            <v>953494</v>
          </cell>
        </row>
        <row r="1026">
          <cell r="A1026" t="str">
            <v>727-529</v>
          </cell>
          <cell r="B1026" t="str">
            <v xml:space="preserve">1 KV yeraltı kabloları ile kolon ve besleme hattı  tesisi  YVV (NYY) 4x1,5 mm2 </v>
          </cell>
          <cell r="C1026" t="str">
            <v>MT</v>
          </cell>
          <cell r="G1026">
            <v>1067344</v>
          </cell>
        </row>
        <row r="1027">
          <cell r="A1027" t="str">
            <v>727-531</v>
          </cell>
          <cell r="B1027" t="str">
            <v xml:space="preserve">1 KV yeraltı kabloları ile kolon ve besleme hattı  tesisi  YVV (NYY) 7x1,5 mm2 </v>
          </cell>
          <cell r="C1027" t="str">
            <v>MT</v>
          </cell>
          <cell r="G1027">
            <v>1864294</v>
          </cell>
        </row>
        <row r="1028">
          <cell r="A1028" t="str">
            <v>7500</v>
          </cell>
          <cell r="B1028" t="str">
            <v>Prefabrik beton parke imali ve yerine döşenmesi (10 cm.)</v>
          </cell>
          <cell r="C1028" t="str">
            <v>M2</v>
          </cell>
          <cell r="E1028">
            <v>9010496</v>
          </cell>
          <cell r="F1028">
            <v>11811970</v>
          </cell>
          <cell r="G1028">
            <v>20958473</v>
          </cell>
          <cell r="H1028">
            <v>27715957</v>
          </cell>
        </row>
        <row r="1029">
          <cell r="A1029" t="str">
            <v>7501</v>
          </cell>
          <cell r="B1029" t="str">
            <v>Prefabrik beton parke imali ve yerine döşenmesi (8 cm.)</v>
          </cell>
          <cell r="C1029" t="str">
            <v>M2</v>
          </cell>
          <cell r="E1029">
            <v>7914462</v>
          </cell>
          <cell r="F1029">
            <v>10397283</v>
          </cell>
          <cell r="G1029">
            <v>18291792</v>
          </cell>
          <cell r="H1029">
            <v>24238611</v>
          </cell>
        </row>
        <row r="1030">
          <cell r="A1030" t="str">
            <v>7502</v>
          </cell>
          <cell r="B1030" t="str">
            <v>Prefabrik beton parke imali ve yerine döşenmesi (6 cm.)</v>
          </cell>
          <cell r="C1030" t="str">
            <v>M2</v>
          </cell>
          <cell r="E1030">
            <v>6819432</v>
          </cell>
          <cell r="F1030">
            <v>8983872</v>
          </cell>
          <cell r="G1030">
            <v>15628172</v>
          </cell>
          <cell r="H1030">
            <v>20765278</v>
          </cell>
        </row>
        <row r="1031">
          <cell r="A1031" t="str">
            <v>7503</v>
          </cell>
          <cell r="B1031" t="str">
            <v>Prefabrik beton plak imali ve yerine döşenmesi (5 cm.)</v>
          </cell>
          <cell r="C1031" t="str">
            <v>M2</v>
          </cell>
          <cell r="E1031">
            <v>5388668</v>
          </cell>
          <cell r="F1031">
            <v>7132131</v>
          </cell>
          <cell r="G1031">
            <v>12072082</v>
          </cell>
          <cell r="H1031">
            <v>16272450</v>
          </cell>
        </row>
        <row r="1032">
          <cell r="A1032" t="str">
            <v>7504</v>
          </cell>
          <cell r="B1032" t="str">
            <v>Prefabrik beton bordür imali ve yerine döşenmesi</v>
          </cell>
          <cell r="C1032" t="str">
            <v>MT</v>
          </cell>
          <cell r="E1032">
            <v>3549791</v>
          </cell>
          <cell r="F1032">
            <v>4663066</v>
          </cell>
          <cell r="G1032">
            <v>8128823</v>
          </cell>
          <cell r="H1032">
            <v>10968067</v>
          </cell>
        </row>
        <row r="1033">
          <cell r="A1033" t="str">
            <v>7505/1</v>
          </cell>
          <cell r="B1033" t="str">
            <v>Prefabrik beton bordür yapılması ve yerine döşenmesi (Düz Bordür)</v>
          </cell>
          <cell r="C1033" t="str">
            <v>MT</v>
          </cell>
          <cell r="E1033">
            <v>2250888</v>
          </cell>
          <cell r="F1033">
            <v>2963771</v>
          </cell>
          <cell r="G1033">
            <v>5115095</v>
          </cell>
          <cell r="H1033">
            <v>6925075</v>
          </cell>
        </row>
        <row r="1034">
          <cell r="A1034" t="str">
            <v>7505/2</v>
          </cell>
          <cell r="B1034" t="str">
            <v>Prefabrik beton bordür yapılması ve yerine döşenmesi (Tam kesik çıkış bordürü)</v>
          </cell>
          <cell r="C1034" t="str">
            <v>MT</v>
          </cell>
          <cell r="E1034">
            <v>2850235</v>
          </cell>
          <cell r="F1034">
            <v>3755462</v>
          </cell>
          <cell r="G1034">
            <v>6494415</v>
          </cell>
          <cell r="H1034">
            <v>8744752</v>
          </cell>
        </row>
        <row r="1035">
          <cell r="A1035" t="str">
            <v>7506</v>
          </cell>
          <cell r="B1035" t="str">
            <v>Prefabrik beton plaklarla şev kaplama yapılması</v>
          </cell>
          <cell r="C1035" t="str">
            <v>M2</v>
          </cell>
          <cell r="E1035">
            <v>6750362</v>
          </cell>
          <cell r="F1035">
            <v>8996493</v>
          </cell>
          <cell r="G1035">
            <v>15050947</v>
          </cell>
          <cell r="H1035">
            <v>20473972</v>
          </cell>
        </row>
        <row r="1036">
          <cell r="A1036" t="str">
            <v>7507</v>
          </cell>
          <cell r="B1036" t="str">
            <v>Prefabrik beton blok şev kaplama elemanı imali ve yerine döşenmesi</v>
          </cell>
          <cell r="C1036" t="str">
            <v>AD</v>
          </cell>
          <cell r="E1036">
            <v>1275767</v>
          </cell>
          <cell r="F1036">
            <v>1677126</v>
          </cell>
          <cell r="G1036">
            <v>2915276</v>
          </cell>
          <cell r="H1036">
            <v>3967940</v>
          </cell>
        </row>
        <row r="1037">
          <cell r="A1037" t="str">
            <v>983-102</v>
          </cell>
          <cell r="B1037" t="str">
            <v xml:space="preserve">Toprak elektrodu (çubuk) elektrolitik bakır   </v>
          </cell>
          <cell r="C1037" t="str">
            <v>AD</v>
          </cell>
          <cell r="G1037">
            <v>95774000</v>
          </cell>
        </row>
        <row r="1038">
          <cell r="A1038" t="str">
            <v>TŞ-B1</v>
          </cell>
          <cell r="B1038" t="str">
            <v>Standart trafik işaret levhası ve direğinin bakımının yapılması</v>
          </cell>
          <cell r="C1038" t="str">
            <v>AD</v>
          </cell>
          <cell r="E1038">
            <v>789825</v>
          </cell>
          <cell r="F1038">
            <v>1038390</v>
          </cell>
          <cell r="H1038">
            <v>2577605</v>
          </cell>
        </row>
        <row r="1039">
          <cell r="A1039" t="str">
            <v>TŞ-B2</v>
          </cell>
          <cell r="B1039" t="str">
            <v>Trafik bilgi işaret levhası bakımının yapılması</v>
          </cell>
          <cell r="C1039" t="str">
            <v>AD</v>
          </cell>
          <cell r="E1039">
            <v>2360040</v>
          </cell>
          <cell r="F1039">
            <v>3095395</v>
          </cell>
          <cell r="H1039">
            <v>7770470</v>
          </cell>
        </row>
        <row r="1040">
          <cell r="A1040" t="str">
            <v>TŞ-B3</v>
          </cell>
          <cell r="B1040" t="str">
            <v>Yol bakım ve onarımlarda geçici trafik işaretlemesinin yapılması ve emniyet tedbirlerinin alınması</v>
          </cell>
          <cell r="C1040" t="str">
            <v>GN</v>
          </cell>
          <cell r="E1040">
            <v>20695382</v>
          </cell>
          <cell r="F1040">
            <v>27885578</v>
          </cell>
        </row>
        <row r="1041">
          <cell r="A1041" t="str">
            <v>TŞ-B4</v>
          </cell>
          <cell r="B1041" t="str">
            <v>Yol bakım ve onarımlarda geçici trafik işaretlemesi için gerekli her türlü malzemenin temini</v>
          </cell>
          <cell r="C1041" t="str">
            <v>GN</v>
          </cell>
          <cell r="E1041">
            <v>9438262</v>
          </cell>
          <cell r="F1041">
            <v>11693723</v>
          </cell>
        </row>
        <row r="1042">
          <cell r="A1042" t="str">
            <v>TŞ-B5</v>
          </cell>
          <cell r="B1042" t="str">
            <v>Yol bakım ve onarımlarda geçici trafik işaretlemesi için malzeme temini, işaretleme yapılması ve emniyet tedbirlerinin alınması</v>
          </cell>
          <cell r="C1042" t="str">
            <v>GN</v>
          </cell>
          <cell r="E1042">
            <v>30133645</v>
          </cell>
          <cell r="F1042">
            <v>39579302</v>
          </cell>
        </row>
        <row r="1043">
          <cell r="A1043" t="str">
            <v>TŞ-B6</v>
          </cell>
          <cell r="B1043" t="str">
            <v>Yol bakım ve onarımlarda trafik emniyetinin sinyalizasyon tertibatı ile sağlanması</v>
          </cell>
          <cell r="C1043" t="str">
            <v>GN</v>
          </cell>
          <cell r="E1043">
            <v>22764920</v>
          </cell>
          <cell r="F1043">
            <v>30674136</v>
          </cell>
        </row>
        <row r="1044">
          <cell r="A1044" t="str">
            <v>TŞ-D1</v>
          </cell>
          <cell r="B1044" t="str">
            <v>3 mm. kalınlığındaki alüminyum malzemeden 90 cm. kenarlı eşkenar üçgen levha yapılması</v>
          </cell>
          <cell r="C1044" t="str">
            <v>AD</v>
          </cell>
          <cell r="E1044">
            <v>10876573</v>
          </cell>
          <cell r="F1044">
            <v>16030230</v>
          </cell>
        </row>
        <row r="1045">
          <cell r="A1045" t="str">
            <v>TŞ-D1/A</v>
          </cell>
          <cell r="B1045" t="str">
            <v>3 mm. kalınlığındaki alüminyum malzemeden 135 cm. kenarlı eşkenar üçgen levha yapılması</v>
          </cell>
          <cell r="C1045" t="str">
            <v>AD</v>
          </cell>
          <cell r="E1045">
            <v>19330600</v>
          </cell>
          <cell r="F1045">
            <v>29096996</v>
          </cell>
        </row>
        <row r="1046">
          <cell r="A1046" t="str">
            <v>TŞ-D10</v>
          </cell>
          <cell r="B1046" t="str">
            <v>2 mm. kalınlığındaki galvanizli sactan dörtgen levha yapılması</v>
          </cell>
          <cell r="C1046" t="str">
            <v>M2</v>
          </cell>
          <cell r="E1046">
            <v>12609531</v>
          </cell>
          <cell r="F1046">
            <v>16784098</v>
          </cell>
          <cell r="H1046">
            <v>41012701</v>
          </cell>
        </row>
        <row r="1047">
          <cell r="A1047" t="str">
            <v>TŞ-D11</v>
          </cell>
          <cell r="B1047" t="str">
            <v>2 mm. kalınlığındaki galvanizli sactan tehlikeli viraj yön levhası yapılması [T-33b (60x180 cm.) levhası]</v>
          </cell>
          <cell r="C1047" t="str">
            <v>AD</v>
          </cell>
          <cell r="E1047">
            <v>17583571</v>
          </cell>
          <cell r="F1047">
            <v>23397971</v>
          </cell>
          <cell r="H1047">
            <v>57322761</v>
          </cell>
        </row>
        <row r="1048">
          <cell r="A1048" t="str">
            <v>TŞ-D11/A</v>
          </cell>
          <cell r="B1048" t="str">
            <v>2 mm. kalınlığındaki galvanizli sactan tehlikeli viraj yön levhası yapılması [T-33c (50x150 cm.) levhası]</v>
          </cell>
          <cell r="C1048" t="str">
            <v>AD</v>
          </cell>
          <cell r="E1048">
            <v>12880281</v>
          </cell>
          <cell r="F1048">
            <v>17145098</v>
          </cell>
          <cell r="H1048">
            <v>41915201</v>
          </cell>
        </row>
        <row r="1049">
          <cell r="A1049" t="str">
            <v>TŞ-D11/B</v>
          </cell>
          <cell r="B1049" t="str">
            <v>2 mm. kalınlığındaki galvanizli sactan engel levhası yapılması</v>
          </cell>
          <cell r="C1049" t="str">
            <v>AD</v>
          </cell>
          <cell r="E1049">
            <v>7893165</v>
          </cell>
          <cell r="F1049">
            <v>10510852</v>
          </cell>
          <cell r="H1049">
            <v>25630265</v>
          </cell>
        </row>
        <row r="1050">
          <cell r="A1050" t="str">
            <v>TŞ-D12</v>
          </cell>
          <cell r="B1050" t="str">
            <v>Galvanizli sactan trafik bilgi levhası yapılması (2.5 m2 ve 2.5 m2 den küçük)</v>
          </cell>
          <cell r="C1050" t="str">
            <v>M2</v>
          </cell>
          <cell r="E1050">
            <v>18966395</v>
          </cell>
          <cell r="F1050">
            <v>26278912</v>
          </cell>
        </row>
        <row r="1051">
          <cell r="A1051" t="str">
            <v>TŞ-D13</v>
          </cell>
          <cell r="B1051" t="str">
            <v>2 mm. kalınlığındaki siyah sactan (DKP) 90 cm. kenarlı eşkenar üçgen levha yapılması</v>
          </cell>
          <cell r="C1051" t="str">
            <v>AD</v>
          </cell>
          <cell r="E1051">
            <v>3915573</v>
          </cell>
          <cell r="F1051">
            <v>4782866</v>
          </cell>
        </row>
        <row r="1052">
          <cell r="A1052" t="str">
            <v>TŞ-D13/A</v>
          </cell>
          <cell r="B1052" t="str">
            <v>2 mm.kalınlığındaki siyah sactan (DKP) 135 cm. kenarlı eşkenar üçgen levha yapılması</v>
          </cell>
          <cell r="C1052" t="str">
            <v>AD</v>
          </cell>
          <cell r="E1052">
            <v>8606440</v>
          </cell>
          <cell r="F1052">
            <v>10498957</v>
          </cell>
        </row>
        <row r="1053">
          <cell r="A1053" t="str">
            <v>TŞ-D14</v>
          </cell>
          <cell r="B1053" t="str">
            <v>2 mm. kalınlığındaki siyah sactan (DKP) 60 cm. çaplı yuvarlak levha yapılması</v>
          </cell>
          <cell r="C1053" t="str">
            <v>AD</v>
          </cell>
          <cell r="E1053">
            <v>3796457</v>
          </cell>
          <cell r="F1053">
            <v>4701731</v>
          </cell>
        </row>
        <row r="1054">
          <cell r="A1054" t="str">
            <v>TŞ-D14/A</v>
          </cell>
          <cell r="B1054" t="str">
            <v>2 mm. kalınlığındaki siyah sactan (DKP) 90 cm. çaplı yuvarlak levha yapılması</v>
          </cell>
          <cell r="C1054" t="str">
            <v>AD</v>
          </cell>
          <cell r="E1054">
            <v>7123681</v>
          </cell>
          <cell r="F1054">
            <v>8666287</v>
          </cell>
        </row>
        <row r="1055">
          <cell r="A1055" t="str">
            <v>TŞ-D15</v>
          </cell>
          <cell r="B1055" t="str">
            <v>2 mm.kalınlığındaki siyah sactan (DKP) 75 cm.lik sekizgen levha yapılması</v>
          </cell>
          <cell r="C1055" t="str">
            <v>AD</v>
          </cell>
          <cell r="E1055">
            <v>5234331</v>
          </cell>
          <cell r="F1055">
            <v>6392201</v>
          </cell>
          <cell r="H1055">
            <v>16140451</v>
          </cell>
        </row>
        <row r="1056">
          <cell r="A1056" t="str">
            <v>TŞ-D15/A</v>
          </cell>
          <cell r="B1056" t="str">
            <v>2 mm. kalınlığındaki siyah sactan (DKP) 90 cm.lik sekizgen levha yapılması</v>
          </cell>
          <cell r="C1056" t="str">
            <v>AD</v>
          </cell>
          <cell r="E1056">
            <v>7353822</v>
          </cell>
          <cell r="F1056">
            <v>8953447</v>
          </cell>
          <cell r="H1056">
            <v>22734992</v>
          </cell>
        </row>
        <row r="1057">
          <cell r="A1057" t="str">
            <v>TŞ-D16</v>
          </cell>
          <cell r="B1057" t="str">
            <v>2 mm. kalınlığındaki siyah sactan (DKP) dörtgen levha yapılması</v>
          </cell>
          <cell r="C1057" t="str">
            <v>M2</v>
          </cell>
          <cell r="E1057">
            <v>10371213</v>
          </cell>
          <cell r="F1057">
            <v>12634878</v>
          </cell>
          <cell r="H1057">
            <v>32002728</v>
          </cell>
        </row>
        <row r="1058">
          <cell r="A1058" t="str">
            <v>TŞ-D17</v>
          </cell>
          <cell r="B1058" t="str">
            <v>2 mm. kalınlığındaki siyah sactan (DKP) tehlikeli viraj yön levhası yapılması [T-33b (60x180 cm.) levhası]</v>
          </cell>
          <cell r="C1058" t="str">
            <v>AD</v>
          </cell>
          <cell r="E1058">
            <v>14445780</v>
          </cell>
          <cell r="F1058">
            <v>17543106</v>
          </cell>
          <cell r="H1058">
            <v>44643975</v>
          </cell>
        </row>
        <row r="1059">
          <cell r="A1059" t="str">
            <v>TŞ-D17/A</v>
          </cell>
          <cell r="B1059" t="str">
            <v>2 mm. kalınlığındaki siyah sactan (DKP) tehlikeli viraj yön levhası yapılması [T-33c (50x150 cm.) levhası ]</v>
          </cell>
          <cell r="C1059" t="str">
            <v>AD</v>
          </cell>
          <cell r="E1059">
            <v>10726206</v>
          </cell>
          <cell r="F1059">
            <v>13060508</v>
          </cell>
          <cell r="H1059">
            <v>33129221</v>
          </cell>
        </row>
        <row r="1060">
          <cell r="A1060" t="str">
            <v>TŞ-D17/B</v>
          </cell>
          <cell r="B1060" t="str">
            <v>2 mm. kalınlığındaki siyah sactan (DKP) engel levhası yapılması</v>
          </cell>
          <cell r="C1060" t="str">
            <v>AD</v>
          </cell>
          <cell r="E1060">
            <v>6607815</v>
          </cell>
          <cell r="F1060">
            <v>8062232</v>
          </cell>
          <cell r="H1060">
            <v>20372625</v>
          </cell>
        </row>
        <row r="1061">
          <cell r="A1061" t="str">
            <v>TŞ-D18</v>
          </cell>
          <cell r="B1061" t="str">
            <v>2 mm. kalınlığındaki siyah sactan (DKP) bilgi levhası yapılması (2.5 m2 ve 2.5 m2 den küçük)</v>
          </cell>
          <cell r="C1061" t="str">
            <v>M2</v>
          </cell>
          <cell r="E1061">
            <v>18243168</v>
          </cell>
          <cell r="F1061">
            <v>24051405</v>
          </cell>
          <cell r="H1061">
            <v>58942597</v>
          </cell>
        </row>
        <row r="1062">
          <cell r="A1062" t="str">
            <v>TŞ-D19</v>
          </cell>
          <cell r="B1062" t="str">
            <v>1,5 mm. kalınlığındaki siyah sactan (DKP) kaplama sınırlayıcı levhası yapılması</v>
          </cell>
          <cell r="C1062" t="str">
            <v>AD</v>
          </cell>
          <cell r="E1062">
            <v>1359797</v>
          </cell>
          <cell r="F1062">
            <v>1704120</v>
          </cell>
          <cell r="H1062">
            <v>4492226</v>
          </cell>
        </row>
        <row r="1063">
          <cell r="A1063" t="str">
            <v>TŞ-D19/A</v>
          </cell>
          <cell r="B1063" t="str">
            <v>Kaplama sınırlayıcı levhanın boyanması ve sembol yapılması</v>
          </cell>
          <cell r="C1063" t="str">
            <v>AD</v>
          </cell>
          <cell r="E1063">
            <v>545920</v>
          </cell>
          <cell r="F1063">
            <v>676062</v>
          </cell>
          <cell r="H1063">
            <v>1560187</v>
          </cell>
        </row>
        <row r="1064">
          <cell r="A1064" t="str">
            <v>TŞ-D2</v>
          </cell>
          <cell r="B1064" t="str">
            <v>3 mm. kalınlığındaki alüminyum malzemeden 60 cm. çaplı yuvarlak levha yapılması</v>
          </cell>
          <cell r="C1064" t="str">
            <v>AD</v>
          </cell>
          <cell r="E1064">
            <v>8686493</v>
          </cell>
          <cell r="F1064">
            <v>12808355</v>
          </cell>
        </row>
        <row r="1065">
          <cell r="A1065" t="str">
            <v>TŞ-D2/A</v>
          </cell>
          <cell r="B1065" t="str">
            <v>3 mm. kalınlığındaki alüminyum malzemeden 90 cm. çaplı yuvarlak levha yapılması</v>
          </cell>
          <cell r="C1065" t="str">
            <v>AD</v>
          </cell>
          <cell r="E1065">
            <v>15466908</v>
          </cell>
          <cell r="F1065">
            <v>23314836</v>
          </cell>
        </row>
        <row r="1066">
          <cell r="A1066" t="str">
            <v>TŞ-D20</v>
          </cell>
          <cell r="B1066" t="str">
            <v>Trafik işaret levhası direği yapılması ve boyanması (5 mm. kalınlığında omega profilinden)</v>
          </cell>
          <cell r="C1066" t="str">
            <v>MT</v>
          </cell>
          <cell r="E1066">
            <v>3990113</v>
          </cell>
          <cell r="F1066">
            <v>5492518</v>
          </cell>
        </row>
        <row r="1067">
          <cell r="A1067" t="str">
            <v>TŞ-D20/A</v>
          </cell>
          <cell r="B1067" t="str">
            <v>Trafik işaret levhası direği yapılması ve boyanması (4 mm. kalınlığında siyah sac)</v>
          </cell>
          <cell r="C1067" t="str">
            <v>MT</v>
          </cell>
          <cell r="E1067">
            <v>6207698</v>
          </cell>
          <cell r="F1067">
            <v>7869813</v>
          </cell>
        </row>
        <row r="1068">
          <cell r="A1068" t="str">
            <v>TŞ-D20/B</v>
          </cell>
          <cell r="B1068" t="str">
            <v>Trafik işaret levhası direği yapılması ve galvanizlenmesi (4 mm. kalınlığında siyah sac)</v>
          </cell>
          <cell r="C1068" t="str">
            <v>MT</v>
          </cell>
          <cell r="E1068">
            <v>6354048</v>
          </cell>
          <cell r="F1068">
            <v>8102803</v>
          </cell>
        </row>
        <row r="1069">
          <cell r="A1069" t="str">
            <v>TŞ-D21</v>
          </cell>
          <cell r="B1069" t="str">
            <v>Trafik bilgi ve yön levhaları için direk yapılması ve boyanması (Muhtelif ebat NPI profil demir)</v>
          </cell>
          <cell r="C1069" t="str">
            <v>KG</v>
          </cell>
          <cell r="E1069">
            <v>542522</v>
          </cell>
          <cell r="F1069">
            <v>755678</v>
          </cell>
          <cell r="H1069">
            <v>1901982</v>
          </cell>
        </row>
        <row r="1070">
          <cell r="A1070" t="str">
            <v>TŞ-D22xxxx</v>
          </cell>
          <cell r="B1070" t="str">
            <v>Kaplama  üstü levha taşıyıcı konstrüksiyonu imali ve boyanması</v>
          </cell>
          <cell r="C1070" t="str">
            <v>KG</v>
          </cell>
          <cell r="E1070">
            <v>772910</v>
          </cell>
          <cell r="F1070">
            <v>988703</v>
          </cell>
          <cell r="H1070">
            <v>2222263</v>
          </cell>
        </row>
        <row r="1071">
          <cell r="A1071" t="str">
            <v>TŞ-D23</v>
          </cell>
          <cell r="B1071" t="str">
            <v>Trafik işaret levhası boyanması (Standart ve bilgi trafik işaret levhaları)</v>
          </cell>
          <cell r="C1071" t="str">
            <v>M2</v>
          </cell>
          <cell r="E1071">
            <v>4505081</v>
          </cell>
          <cell r="F1071">
            <v>5736031</v>
          </cell>
          <cell r="H1071">
            <v>13523461</v>
          </cell>
        </row>
        <row r="1072">
          <cell r="A1072" t="str">
            <v>TŞ-D23/A xxxx</v>
          </cell>
          <cell r="B1072" t="str">
            <v>Trafik işaret levhalarına sembol, bordür ve yazı yazılması</v>
          </cell>
          <cell r="C1072" t="str">
            <v>M2</v>
          </cell>
          <cell r="E1072">
            <v>1056025</v>
          </cell>
          <cell r="F1072">
            <v>1370000</v>
          </cell>
          <cell r="H1072">
            <v>3023250</v>
          </cell>
        </row>
        <row r="1073">
          <cell r="A1073" t="str">
            <v>TŞ-D24</v>
          </cell>
          <cell r="B1073" t="str">
            <v>Trafik işaret levhalarına reflektif malzeme yapıştırılması (Standart ve bilgi işaret levhaları)</v>
          </cell>
          <cell r="C1073" t="str">
            <v>M2</v>
          </cell>
          <cell r="E1073">
            <v>4861571</v>
          </cell>
          <cell r="F1073">
            <v>6509031</v>
          </cell>
          <cell r="H1073">
            <v>14781461</v>
          </cell>
          <cell r="I1073">
            <v>17272976</v>
          </cell>
        </row>
        <row r="1074">
          <cell r="A1074" t="str">
            <v>TŞ-D24/A</v>
          </cell>
          <cell r="B1074" t="str">
            <v>Levhaya standart tam reflektif trafik işaretinin yapıştırılması</v>
          </cell>
          <cell r="C1074" t="str">
            <v>AD</v>
          </cell>
          <cell r="E1074">
            <v>983542</v>
          </cell>
          <cell r="F1074">
            <v>1314195</v>
          </cell>
          <cell r="H1074">
            <v>3015302</v>
          </cell>
        </row>
        <row r="1075">
          <cell r="A1075" t="str">
            <v>TŞ-D25</v>
          </cell>
          <cell r="B1075" t="str">
            <v>Standart trafik işaret levha direğinin yerine konulması</v>
          </cell>
          <cell r="C1075" t="str">
            <v>AD</v>
          </cell>
          <cell r="E1075">
            <v>3766380</v>
          </cell>
          <cell r="F1075">
            <v>4945392</v>
          </cell>
          <cell r="H1075">
            <v>12352405</v>
          </cell>
        </row>
        <row r="1076">
          <cell r="A1076" t="str">
            <v>TŞ-D25/A</v>
          </cell>
          <cell r="B1076" t="str">
            <v>Kaplama sınırlayıcı levhasının yerine konulması</v>
          </cell>
          <cell r="C1076" t="str">
            <v>AD</v>
          </cell>
          <cell r="E1076">
            <v>117335</v>
          </cell>
          <cell r="F1076">
            <v>153530</v>
          </cell>
        </row>
        <row r="1077">
          <cell r="A1077" t="str">
            <v>TŞ-D26</v>
          </cell>
          <cell r="B1077" t="str">
            <v>Trafik bilgi levhalarına temel yapımı ve levha direği montajı</v>
          </cell>
          <cell r="C1077" t="str">
            <v>AD</v>
          </cell>
          <cell r="E1077">
            <v>40184487</v>
          </cell>
          <cell r="F1077">
            <v>52583927</v>
          </cell>
          <cell r="H1077">
            <v>116411828</v>
          </cell>
        </row>
        <row r="1078">
          <cell r="A1078" t="str">
            <v>TŞ-D27xxxxx</v>
          </cell>
          <cell r="B1078" t="str">
            <v>Kaplama üstü levha taşıyıcı konstrüksiyonun komple yerine konulması</v>
          </cell>
          <cell r="C1078" t="str">
            <v>AD</v>
          </cell>
          <cell r="E1078">
            <v>709638382</v>
          </cell>
          <cell r="F1078">
            <v>922046378</v>
          </cell>
          <cell r="H1078">
            <v>2154209033</v>
          </cell>
        </row>
        <row r="1079">
          <cell r="A1079" t="str">
            <v>TŞ-D28</v>
          </cell>
          <cell r="B1079" t="str">
            <v>Standart trafik işaret levhalarının yerine konulması</v>
          </cell>
          <cell r="C1079" t="str">
            <v>AD</v>
          </cell>
          <cell r="E1079">
            <v>2026735</v>
          </cell>
          <cell r="F1079">
            <v>2666602</v>
          </cell>
          <cell r="H1079">
            <v>6597265</v>
          </cell>
        </row>
        <row r="1080">
          <cell r="A1080" t="str">
            <v>TŞ-D29</v>
          </cell>
          <cell r="B1080" t="str">
            <v>Trafik bilgi levhalarının yerine konulması</v>
          </cell>
          <cell r="C1080" t="str">
            <v>M2</v>
          </cell>
          <cell r="E1080">
            <v>4365650</v>
          </cell>
          <cell r="F1080">
            <v>5754892</v>
          </cell>
          <cell r="H1080">
            <v>14110280</v>
          </cell>
        </row>
        <row r="1081">
          <cell r="A1081" t="str">
            <v>TŞ-D3</v>
          </cell>
          <cell r="B1081" t="str">
            <v>3 mm. kalınlığındaki alüminyum malzemeden 75 cm.lik sekizgen levha yapılması</v>
          </cell>
          <cell r="C1081" t="str">
            <v>AD</v>
          </cell>
          <cell r="E1081">
            <v>12275885</v>
          </cell>
          <cell r="F1081">
            <v>18298015</v>
          </cell>
          <cell r="H1081">
            <v>39938076</v>
          </cell>
        </row>
        <row r="1082">
          <cell r="A1082" t="str">
            <v>TŞ-D3/A</v>
          </cell>
          <cell r="B1082" t="str">
            <v>3 mm. kalınlığındaki alüminyum malzemeden 90 cm.lik sekizgen levha yapılması</v>
          </cell>
          <cell r="C1082" t="str">
            <v>AD</v>
          </cell>
          <cell r="E1082">
            <v>15610268</v>
          </cell>
          <cell r="F1082">
            <v>23554836</v>
          </cell>
          <cell r="H1082">
            <v>51461930</v>
          </cell>
        </row>
        <row r="1083">
          <cell r="A1083" t="str">
            <v>TŞ-D30 xxxxx</v>
          </cell>
          <cell r="B1083" t="str">
            <v>Kaplama üstü bilgi levhalarının yerlerine konulması</v>
          </cell>
          <cell r="C1083" t="str">
            <v>M2</v>
          </cell>
          <cell r="E1083">
            <v>9304698</v>
          </cell>
          <cell r="F1083">
            <v>12456036</v>
          </cell>
          <cell r="H1083">
            <v>29523726</v>
          </cell>
        </row>
        <row r="1084">
          <cell r="A1084" t="str">
            <v>TŞ-D31</v>
          </cell>
          <cell r="B1084" t="str">
            <v>Standart trafik işaret levhalarının yerinden sökülmesi</v>
          </cell>
          <cell r="C1084" t="str">
            <v>AD</v>
          </cell>
          <cell r="E1084">
            <v>1631935</v>
          </cell>
          <cell r="F1084">
            <v>2133352</v>
          </cell>
          <cell r="H1084">
            <v>5439265</v>
          </cell>
        </row>
        <row r="1085">
          <cell r="A1085" t="str">
            <v>TŞ-D32</v>
          </cell>
          <cell r="B1085" t="str">
            <v>Trafik bilgi levhalarının yerlerinden sökülmesi</v>
          </cell>
          <cell r="C1085" t="str">
            <v>M2</v>
          </cell>
          <cell r="E1085">
            <v>3761760</v>
          </cell>
          <cell r="F1085">
            <v>4939267</v>
          </cell>
          <cell r="H1085">
            <v>12339030</v>
          </cell>
        </row>
        <row r="1086">
          <cell r="A1086" t="str">
            <v>TŞ-D33</v>
          </cell>
          <cell r="B1086" t="str">
            <v>Kaplama üstü bilgi levhalarının yerlerinden sökülmesi</v>
          </cell>
          <cell r="C1086" t="str">
            <v>M2</v>
          </cell>
          <cell r="E1086">
            <v>6146731</v>
          </cell>
          <cell r="F1086">
            <v>8082973</v>
          </cell>
          <cell r="H1086">
            <v>19726218</v>
          </cell>
        </row>
        <row r="1087">
          <cell r="A1087" t="str">
            <v>TŞ-D34</v>
          </cell>
          <cell r="B1087" t="str">
            <v>Standart levha direğinin yerinden sökülmesi</v>
          </cell>
          <cell r="C1087" t="str">
            <v>AD</v>
          </cell>
          <cell r="E1087">
            <v>3766380</v>
          </cell>
          <cell r="F1087">
            <v>4945392</v>
          </cell>
          <cell r="H1087">
            <v>12352405</v>
          </cell>
        </row>
        <row r="1088">
          <cell r="A1088" t="str">
            <v>TŞ-D35</v>
          </cell>
          <cell r="B1088" t="str">
            <v>Trafik bilgi levhası direklerinin yerlerinden sökülmesi</v>
          </cell>
          <cell r="C1088" t="str">
            <v>AD</v>
          </cell>
          <cell r="E1088">
            <v>6629016</v>
          </cell>
          <cell r="F1088">
            <v>8741057</v>
          </cell>
          <cell r="H1088">
            <v>21401546</v>
          </cell>
        </row>
        <row r="1089">
          <cell r="A1089" t="str">
            <v>TŞ-D36</v>
          </cell>
          <cell r="B1089" t="str">
            <v>Kaplama üstü levha taşıyıcı konstrüksiyonun komple yerinden sökülmesi</v>
          </cell>
          <cell r="C1089" t="str">
            <v>AD</v>
          </cell>
          <cell r="E1089">
            <v>219846875</v>
          </cell>
          <cell r="F1089">
            <v>290543842</v>
          </cell>
          <cell r="H1089">
            <v>685962110</v>
          </cell>
        </row>
        <row r="1090">
          <cell r="A1090" t="str">
            <v>TŞ-D4</v>
          </cell>
          <cell r="B1090" t="str">
            <v>3 mm. kalınlığındaki alüminyum malzemeden dörtgen levha yapılması</v>
          </cell>
          <cell r="C1090" t="str">
            <v>M2</v>
          </cell>
          <cell r="E1090">
            <v>19972351</v>
          </cell>
          <cell r="F1090">
            <v>30461031</v>
          </cell>
          <cell r="H1090">
            <v>66548707</v>
          </cell>
        </row>
        <row r="1091">
          <cell r="A1091" t="str">
            <v>TŞ-D5</v>
          </cell>
          <cell r="B1091" t="str">
            <v>3 mm. kalınlığındaki alüminyum malzemeden tehlikeli viraj yön levhası yapılması [T-33b (60x180 cm.) levhası]</v>
          </cell>
          <cell r="C1091" t="str">
            <v>AD</v>
          </cell>
          <cell r="E1091">
            <v>30906237</v>
          </cell>
          <cell r="F1091">
            <v>46734672</v>
          </cell>
          <cell r="H1091">
            <v>102105228</v>
          </cell>
        </row>
        <row r="1092">
          <cell r="A1092" t="str">
            <v>TŞ-D5/A</v>
          </cell>
          <cell r="B1092" t="str">
            <v>3 mm. kalınlığındaki alüminyum malzemeden tehlikeli viraj yön levhası yapılması [T-33c (50x150 cm.) levhası]</v>
          </cell>
          <cell r="C1092" t="str">
            <v>AD</v>
          </cell>
          <cell r="E1092">
            <v>25236111</v>
          </cell>
          <cell r="F1092">
            <v>37701656</v>
          </cell>
          <cell r="H1092">
            <v>82264996</v>
          </cell>
        </row>
        <row r="1093">
          <cell r="A1093" t="str">
            <v>TŞ-D5/B</v>
          </cell>
          <cell r="B1093" t="str">
            <v>3 mm. kalınlığındaki alüminyum malzemeden engel levhası yapılması</v>
          </cell>
          <cell r="C1093" t="str">
            <v>AD</v>
          </cell>
          <cell r="E1093">
            <v>19417917</v>
          </cell>
          <cell r="F1093">
            <v>28417051</v>
          </cell>
          <cell r="H1093">
            <v>61962102</v>
          </cell>
        </row>
        <row r="1094">
          <cell r="A1094" t="str">
            <v>TŞ-D6</v>
          </cell>
          <cell r="B1094" t="str">
            <v>Alüminyum özel profilden bilgi levhası yapılması (2,5 m2 ve 2,5 m2 den küçük)</v>
          </cell>
          <cell r="C1094" t="str">
            <v>M2</v>
          </cell>
          <cell r="E1094">
            <v>29525815</v>
          </cell>
          <cell r="F1094">
            <v>40875702</v>
          </cell>
        </row>
        <row r="1095">
          <cell r="A1095" t="str">
            <v>TŞ-D6/A</v>
          </cell>
          <cell r="B1095" t="str">
            <v>Alüminyum özel profilden bilgi levhası yapılması (2,5 m2 den büyük)</v>
          </cell>
          <cell r="C1095" t="str">
            <v>M2</v>
          </cell>
          <cell r="E1095">
            <v>30018752</v>
          </cell>
          <cell r="F1095">
            <v>41506128</v>
          </cell>
        </row>
        <row r="1096">
          <cell r="A1096" t="str">
            <v>TŞ-D7</v>
          </cell>
          <cell r="B1096" t="str">
            <v>2 mm. kalınlığındaki galvanizli sactan 90 cm. kenarlı eşkenar üçgen levha yapılması</v>
          </cell>
          <cell r="C1096" t="str">
            <v>AD</v>
          </cell>
          <cell r="E1096">
            <v>4679048</v>
          </cell>
          <cell r="F1096">
            <v>6230711</v>
          </cell>
        </row>
        <row r="1097">
          <cell r="A1097" t="str">
            <v>TŞ-D7/A</v>
          </cell>
          <cell r="B1097" t="str">
            <v>2 mm. kalınlığındaki galvanizli sactan 135 cm. kenarlı eşkenar üçgen levha yapılması</v>
          </cell>
          <cell r="C1097" t="str">
            <v>AD</v>
          </cell>
          <cell r="E1097">
            <v>10471706</v>
          </cell>
          <cell r="F1097">
            <v>13940618</v>
          </cell>
        </row>
        <row r="1098">
          <cell r="A1098" t="str">
            <v>TŞ-D8</v>
          </cell>
          <cell r="B1098" t="str">
            <v>2 mm. kalınlığındaki galvanizli sactan 60 cm. çaplı yuvarlak levha yapılması</v>
          </cell>
          <cell r="C1098" t="str">
            <v>AD</v>
          </cell>
          <cell r="E1098">
            <v>4440307</v>
          </cell>
          <cell r="F1098">
            <v>5922551</v>
          </cell>
        </row>
        <row r="1099">
          <cell r="A1099" t="str">
            <v>TŞ-D8/A</v>
          </cell>
          <cell r="B1099" t="str">
            <v>2 mm. kalınlığındaki galvanizli sactan 90 cm. çaplı yuvarlak levha yapılması</v>
          </cell>
          <cell r="C1099" t="str">
            <v>AD</v>
          </cell>
          <cell r="E1099">
            <v>8570181</v>
          </cell>
          <cell r="F1099">
            <v>11409262</v>
          </cell>
        </row>
        <row r="1100">
          <cell r="A1100" t="str">
            <v>TŞ-D9</v>
          </cell>
          <cell r="B1100" t="str">
            <v>2 mm. kalınlığındaki galvanizli sactan 75 cm.lik sekizgen levha yapılması</v>
          </cell>
          <cell r="C1100" t="str">
            <v>AD</v>
          </cell>
          <cell r="E1100">
            <v>6257981</v>
          </cell>
          <cell r="F1100">
            <v>8333281</v>
          </cell>
          <cell r="H1100">
            <v>20315711</v>
          </cell>
        </row>
        <row r="1101">
          <cell r="A1101" t="str">
            <v>TŞ-D9/A</v>
          </cell>
          <cell r="B1101" t="str">
            <v>2 mm. kalınlığındaki galvanizli sactan 90 cm.lik sekizgen levha yapılması</v>
          </cell>
          <cell r="C1101" t="str">
            <v>AD</v>
          </cell>
          <cell r="E1101">
            <v>8827947</v>
          </cell>
          <cell r="F1101">
            <v>11748672</v>
          </cell>
          <cell r="H1101">
            <v>28747567</v>
          </cell>
        </row>
        <row r="1102">
          <cell r="A1102" t="str">
            <v>TŞ-G1</v>
          </cell>
          <cell r="B1102" t="str">
            <v>Beton yol korkuluğu yapılması (A Tipi) (Yerinde)</v>
          </cell>
          <cell r="C1102" t="str">
            <v>MT</v>
          </cell>
          <cell r="E1102">
            <v>29898520</v>
          </cell>
          <cell r="F1102">
            <v>38960013</v>
          </cell>
        </row>
        <row r="1103">
          <cell r="A1103" t="str">
            <v>TŞ-G2</v>
          </cell>
          <cell r="B1103" t="str">
            <v>Beton yol korkuluğu yapılması (B Tipi) (Yerinde)</v>
          </cell>
          <cell r="C1103" t="str">
            <v>MT</v>
          </cell>
          <cell r="E1103">
            <v>31501337</v>
          </cell>
          <cell r="F1103">
            <v>41071811</v>
          </cell>
        </row>
        <row r="1104">
          <cell r="A1104" t="str">
            <v>TŞ-G3</v>
          </cell>
          <cell r="B1104" t="str">
            <v>Beton yol korkuluğu son elemanı yapılması (A Tipi) (Yerinde)</v>
          </cell>
          <cell r="C1104" t="str">
            <v>AD</v>
          </cell>
          <cell r="E1104">
            <v>59797040</v>
          </cell>
          <cell r="F1104">
            <v>77920027</v>
          </cell>
        </row>
        <row r="1105">
          <cell r="A1105" t="str">
            <v>TŞ-G4</v>
          </cell>
          <cell r="B1105" t="str">
            <v>Beton yol korkuluğu son elamanı yapılması (B Tipi) (Yerinde)</v>
          </cell>
          <cell r="C1105" t="str">
            <v>AD</v>
          </cell>
          <cell r="E1105">
            <v>63002675</v>
          </cell>
          <cell r="F1105">
            <v>82143622</v>
          </cell>
        </row>
        <row r="1106">
          <cell r="A1106" t="str">
            <v>TŞ-G5</v>
          </cell>
          <cell r="B1106" t="str">
            <v>Beton yol korkuluğu kalıbı yapılması  (Çelik)</v>
          </cell>
          <cell r="C1106" t="str">
            <v>M2</v>
          </cell>
          <cell r="E1106">
            <v>18469930</v>
          </cell>
          <cell r="F1106">
            <v>23993582</v>
          </cell>
        </row>
        <row r="1107">
          <cell r="A1107" t="str">
            <v>TŞ-IŞ1</v>
          </cell>
          <cell r="B1107" t="str">
            <v>Standard sinyal verici direği yapılması ve elektrostatik toz boya ile boyanması</v>
          </cell>
          <cell r="C1107" t="str">
            <v>AD</v>
          </cell>
          <cell r="E1107">
            <v>0</v>
          </cell>
          <cell r="F1107">
            <v>75169141</v>
          </cell>
          <cell r="G1107">
            <v>127206501</v>
          </cell>
        </row>
        <row r="1108">
          <cell r="A1108" t="str">
            <v>TŞ-IŞ10</v>
          </cell>
          <cell r="B1108" t="str">
            <v>Standart sinyal verici direği yerine konulması (temel dahil)</v>
          </cell>
          <cell r="C1108" t="str">
            <v>AD</v>
          </cell>
          <cell r="E1108">
            <v>0</v>
          </cell>
          <cell r="F1108">
            <v>24266243</v>
          </cell>
          <cell r="G1108">
            <v>36125135</v>
          </cell>
          <cell r="H1108">
            <v>57052206</v>
          </cell>
        </row>
        <row r="1109">
          <cell r="A1109" t="str">
            <v>TŞ-IŞ11</v>
          </cell>
          <cell r="B1109" t="str">
            <v>Baş üstü sinyal verici direği yerine konulması (temel dahil)</v>
          </cell>
          <cell r="C1109" t="str">
            <v>AD</v>
          </cell>
          <cell r="E1109">
            <v>0</v>
          </cell>
          <cell r="F1109">
            <v>36440847</v>
          </cell>
          <cell r="G1109">
            <v>54592978</v>
          </cell>
          <cell r="H1109">
            <v>85121740</v>
          </cell>
        </row>
        <row r="1110">
          <cell r="A1110" t="str">
            <v>TŞ-IŞ12</v>
          </cell>
          <cell r="B1110" t="str">
            <v>100 mm. Çaplı sinyal verici grupların standart ve baş üstü direklere montajı</v>
          </cell>
          <cell r="C1110" t="str">
            <v>GU</v>
          </cell>
          <cell r="E1110">
            <v>0</v>
          </cell>
          <cell r="F1110">
            <v>15232932</v>
          </cell>
          <cell r="G1110">
            <v>23287685</v>
          </cell>
        </row>
        <row r="1111">
          <cell r="A1111" t="str">
            <v>TŞ-IŞ13</v>
          </cell>
          <cell r="B1111" t="str">
            <v>200 mm. Çaplı sinyal vericisinin standart ve baş üstü direklere montajı</v>
          </cell>
          <cell r="C1111" t="str">
            <v>AD</v>
          </cell>
          <cell r="E1111">
            <v>0</v>
          </cell>
          <cell r="F1111">
            <v>9537568</v>
          </cell>
          <cell r="G1111">
            <v>15383913</v>
          </cell>
        </row>
        <row r="1112">
          <cell r="A1112" t="str">
            <v>TŞ-IŞ14</v>
          </cell>
          <cell r="B1112" t="str">
            <v>300 mm. Çaplı sinyal vericisinin standart ve baş üstü direklere montajı</v>
          </cell>
          <cell r="C1112" t="str">
            <v>AD</v>
          </cell>
          <cell r="E1112">
            <v>0</v>
          </cell>
          <cell r="F1112">
            <v>12629887</v>
          </cell>
          <cell r="G1112">
            <v>19606453</v>
          </cell>
        </row>
        <row r="1113">
          <cell r="A1113" t="str">
            <v>TŞ-IŞ15</v>
          </cell>
          <cell r="B1113" t="str">
            <v>200 mm. Çaplı sinyal verici gruplarının standart ve baş üstü direklere montajı</v>
          </cell>
          <cell r="C1113" t="str">
            <v>GU</v>
          </cell>
          <cell r="E1113">
            <v>0</v>
          </cell>
          <cell r="F1113">
            <v>21582491</v>
          </cell>
          <cell r="G1113">
            <v>32215551</v>
          </cell>
        </row>
        <row r="1114">
          <cell r="A1114" t="str">
            <v>TŞ-IŞ16</v>
          </cell>
          <cell r="B1114" t="str">
            <v>300 mm. Çaplı sinyal verici gruplarının standart ve baş üstü direklere montajı</v>
          </cell>
          <cell r="C1114" t="str">
            <v>GU</v>
          </cell>
          <cell r="E1114">
            <v>0</v>
          </cell>
          <cell r="F1114">
            <v>27154011</v>
          </cell>
          <cell r="G1114">
            <v>40126182</v>
          </cell>
        </row>
        <row r="1115">
          <cell r="A1115" t="str">
            <v>TŞ-IŞ17</v>
          </cell>
          <cell r="B1115" t="str">
            <v>200 mm. Çaplı sinyal verici gruplarının baş üstü L şeklindeki konsol direğe montajı</v>
          </cell>
          <cell r="C1115" t="str">
            <v>GU</v>
          </cell>
          <cell r="E1115">
            <v>0</v>
          </cell>
          <cell r="F1115">
            <v>47781548</v>
          </cell>
        </row>
        <row r="1116">
          <cell r="A1116" t="str">
            <v>TŞ-IŞ18</v>
          </cell>
          <cell r="B1116" t="str">
            <v>300 mm. Çaplı sinyal verici gruplarının baş üstü L şeklindeki konsol direğe montajı</v>
          </cell>
          <cell r="C1116" t="str">
            <v>GU</v>
          </cell>
          <cell r="E1116">
            <v>0</v>
          </cell>
          <cell r="F1116">
            <v>57028607</v>
          </cell>
          <cell r="G1116">
            <v>89632827</v>
          </cell>
        </row>
        <row r="1117">
          <cell r="A1117" t="str">
            <v>TŞ-IŞ19</v>
          </cell>
          <cell r="B1117" t="str">
            <v>Kavşak kontrol cihazın yerine konulması (temel dahil)</v>
          </cell>
          <cell r="C1117" t="str">
            <v>AD</v>
          </cell>
          <cell r="E1117">
            <v>0</v>
          </cell>
          <cell r="F1117">
            <v>22279076</v>
          </cell>
          <cell r="G1117">
            <v>35588852</v>
          </cell>
          <cell r="H1117">
            <v>50041520</v>
          </cell>
        </row>
        <row r="1118">
          <cell r="A1118" t="str">
            <v>TŞ-IŞ2</v>
          </cell>
          <cell r="B1118" t="str">
            <v>Baş üstü sinyal verici direği yapılması ve elektrostatik toz Boya ile boyanması</v>
          </cell>
          <cell r="C1118" t="str">
            <v>AD</v>
          </cell>
          <cell r="E1118">
            <v>0</v>
          </cell>
          <cell r="F1118">
            <v>208702937</v>
          </cell>
          <cell r="G1118">
            <v>324600308</v>
          </cell>
        </row>
        <row r="1119">
          <cell r="A1119" t="str">
            <v>TŞ-IŞ20</v>
          </cell>
          <cell r="B1119" t="str">
            <v>Yol altından kablo geçişi</v>
          </cell>
          <cell r="C1119" t="str">
            <v>MT</v>
          </cell>
          <cell r="E1119">
            <v>0</v>
          </cell>
          <cell r="F1119">
            <v>4847415</v>
          </cell>
          <cell r="G1119">
            <v>6502347</v>
          </cell>
          <cell r="H1119">
            <v>9622775</v>
          </cell>
        </row>
        <row r="1120">
          <cell r="A1120" t="str">
            <v>TŞ-IŞ21</v>
          </cell>
          <cell r="B1120" t="str">
            <v>Orta refüj ve kaldırım altından kablo geçişi</v>
          </cell>
          <cell r="C1120" t="str">
            <v>MT</v>
          </cell>
          <cell r="E1120">
            <v>0</v>
          </cell>
          <cell r="F1120">
            <v>2268441</v>
          </cell>
          <cell r="G1120">
            <v>3599558</v>
          </cell>
          <cell r="H1120">
            <v>4796468</v>
          </cell>
        </row>
        <row r="1121">
          <cell r="A1121" t="str">
            <v>TŞ-IŞ3</v>
          </cell>
          <cell r="B1121" t="str">
            <v>100 mm. Çaplı polikarbonat malzemeden sinyal vericisi yapılması (Gövde,kapak ve siperlik)</v>
          </cell>
          <cell r="C1121" t="str">
            <v>AD</v>
          </cell>
          <cell r="E1121">
            <v>0</v>
          </cell>
          <cell r="F1121">
            <v>13282537</v>
          </cell>
          <cell r="G1121">
            <v>43176297</v>
          </cell>
        </row>
        <row r="1122">
          <cell r="A1122" t="str">
            <v>TŞ-IŞ3/A</v>
          </cell>
          <cell r="B1122" t="str">
            <v>200 mm. Çaplı polikarbonat malzemeden sinyal vericisi yapılması (Gövde,kapak ve siperlik)</v>
          </cell>
          <cell r="C1122" t="str">
            <v>AD</v>
          </cell>
          <cell r="E1122">
            <v>0</v>
          </cell>
          <cell r="F1122">
            <v>21967437</v>
          </cell>
          <cell r="G1122">
            <v>56886005</v>
          </cell>
        </row>
        <row r="1123">
          <cell r="A1123" t="str">
            <v>TŞ-IŞ3/B</v>
          </cell>
          <cell r="B1123" t="str">
            <v>300 mm. Çaplı polikarbonat malzemeden sinyal vericisi yapılması (Gövde,kapak ve siperlik)</v>
          </cell>
          <cell r="C1123" t="str">
            <v>AD</v>
          </cell>
          <cell r="E1123">
            <v>0</v>
          </cell>
          <cell r="F1123">
            <v>32189875</v>
          </cell>
          <cell r="G1123">
            <v>74321317</v>
          </cell>
        </row>
        <row r="1124">
          <cell r="A1124" t="str">
            <v>TŞ-IŞ4</v>
          </cell>
          <cell r="B1124" t="str">
            <v>100 mm. Çaplı alümimyum injeksiyon olarak sinyal vericisi yapılması ve elektrostatik toz boya ile boyanması (Gövde,kapak,siperlik ve dirsekler)</v>
          </cell>
          <cell r="C1124" t="str">
            <v>AD</v>
          </cell>
          <cell r="E1124">
            <v>0</v>
          </cell>
          <cell r="F1124">
            <v>34639971</v>
          </cell>
        </row>
        <row r="1125">
          <cell r="A1125" t="str">
            <v>TŞ-IŞ4/A</v>
          </cell>
          <cell r="B1125" t="str">
            <v>200 mm. Çaplı alüminyum injeksiyon olarak sinyal vericisi yapılması ve elektrostatik toz boya ile boyanması (Gövde,kapak,siperlik ve dirsekler)</v>
          </cell>
          <cell r="C1125" t="str">
            <v>AD</v>
          </cell>
          <cell r="E1125">
            <v>0</v>
          </cell>
          <cell r="F1125">
            <v>65583041</v>
          </cell>
        </row>
        <row r="1126">
          <cell r="A1126" t="str">
            <v>TŞ-IŞ4/B</v>
          </cell>
          <cell r="B1126" t="str">
            <v>300 mm. Çaplı alüminyum injeksiyon olarak sinyal vericisi yapılması ve elektrostatik toz boya ile boyanması (Gövde,kapak,siperlik ve dirsekler)</v>
          </cell>
          <cell r="C1126" t="str">
            <v>AD</v>
          </cell>
          <cell r="E1126">
            <v>0</v>
          </cell>
          <cell r="F1126">
            <v>78248552</v>
          </cell>
        </row>
        <row r="1127">
          <cell r="A1127" t="str">
            <v>TŞ-IŞ5</v>
          </cell>
          <cell r="B1127" t="str">
            <v>Kamaşma panosu yapılması ve elektrostatik toz boya ile boyanması (200 mm. Çaplı sinyal verici gruplar için)</v>
          </cell>
          <cell r="C1127" t="str">
            <v>AD</v>
          </cell>
          <cell r="E1127">
            <v>0</v>
          </cell>
          <cell r="F1127">
            <v>16199625</v>
          </cell>
          <cell r="G1127">
            <v>33422537</v>
          </cell>
        </row>
        <row r="1128">
          <cell r="A1128" t="str">
            <v>TŞ-IŞ5/A</v>
          </cell>
          <cell r="B1128" t="str">
            <v>Kamaşma panosu yapılması ve elektrostatik toz boya ile boyanması (300 mm. Çaplı sinyal verici gruplar için)</v>
          </cell>
          <cell r="C1128" t="str">
            <v>AD</v>
          </cell>
          <cell r="E1128">
            <v>0</v>
          </cell>
          <cell r="F1128">
            <v>20104125</v>
          </cell>
          <cell r="G1128">
            <v>41537225</v>
          </cell>
        </row>
        <row r="1129">
          <cell r="A1129" t="str">
            <v>TŞ-IŞ6</v>
          </cell>
          <cell r="B1129" t="str">
            <v>100 mm. Çaplı sinyal vericileri oto sinyal verici grubu haline getirilmesi montajı ( Polikarbonat malzemeden)</v>
          </cell>
          <cell r="C1129" t="str">
            <v>GU</v>
          </cell>
          <cell r="E1129">
            <v>0</v>
          </cell>
          <cell r="F1129">
            <v>15277102</v>
          </cell>
        </row>
        <row r="1130">
          <cell r="A1130" t="str">
            <v>TŞ-IŞ6/A</v>
          </cell>
          <cell r="B1130" t="str">
            <v>100 mm. Çaplı sinyal vericileri oto sinyal verici grubu haline getirilmesi montajı (Alüminyum malzemeden)</v>
          </cell>
          <cell r="C1130" t="str">
            <v>GU</v>
          </cell>
          <cell r="E1130">
            <v>0</v>
          </cell>
          <cell r="F1130">
            <v>21090091</v>
          </cell>
        </row>
        <row r="1131">
          <cell r="A1131" t="str">
            <v>TŞ-IŞ7</v>
          </cell>
          <cell r="B1131" t="str">
            <v>200 mm. Çaplı sinyal vericileri yaya sinyal verici grubu haline getirilmesi montajı (polikarbonat malzemeden) 200 mm. Çaplı sinyal vericileri oto sinyal verici grubu haline getirilmesi montajı (Polikarbonat malzemeden) 200 mm. Çaplı sinyal vericileri yaya</v>
          </cell>
          <cell r="C1131" t="str">
            <v>GU</v>
          </cell>
          <cell r="E1131">
            <v>0</v>
          </cell>
          <cell r="F1131">
            <v>16830602</v>
          </cell>
          <cell r="G1131">
            <v>23666340</v>
          </cell>
        </row>
        <row r="1132">
          <cell r="A1132" t="str">
            <v>TŞ-IŞ7/A</v>
          </cell>
          <cell r="B1132" t="str">
            <v>200 mm. Çaplı sinyal vericileri oto sinyal verici grubu haline getirilmesi montajı (Polikarbonat malzemeden) 200 mm. Çaplı sinyal vericileri yaya sinyal verici grubu haline getirilmesi montajı (Alüminyum malzemeden)</v>
          </cell>
          <cell r="C1132" t="str">
            <v>GU</v>
          </cell>
          <cell r="E1132">
            <v>0</v>
          </cell>
          <cell r="F1132">
            <v>16830602</v>
          </cell>
          <cell r="G1132">
            <v>29974467</v>
          </cell>
        </row>
        <row r="1133">
          <cell r="A1133" t="str">
            <v>TŞ-IŞ7/B</v>
          </cell>
          <cell r="B1133" t="str">
            <v>200 mm. Çaplı sinyal vericileri yaya sinyal verici grubu haline getirilmesi montajı (Alüminyum malzemeden)</v>
          </cell>
          <cell r="C1133" t="str">
            <v>GU</v>
          </cell>
          <cell r="E1133">
            <v>0</v>
          </cell>
          <cell r="F1133">
            <v>16830602</v>
          </cell>
          <cell r="G1133">
            <v>27002935</v>
          </cell>
        </row>
        <row r="1134">
          <cell r="A1134" t="str">
            <v>TŞ-IŞ7/C</v>
          </cell>
          <cell r="B1134" t="str">
            <v>200 mm. Çaplı sinyal vericileri oto sinyal verici grubu haline getirilmesi montajı (Alüminyum malzemeden)</v>
          </cell>
          <cell r="C1134" t="str">
            <v>GU</v>
          </cell>
          <cell r="E1134">
            <v>0</v>
          </cell>
          <cell r="F1134">
            <v>21563330</v>
          </cell>
        </row>
        <row r="1135">
          <cell r="A1135" t="str">
            <v>TŞ-IŞ8</v>
          </cell>
          <cell r="B1135" t="str">
            <v>300 mm. Çaplı sinyal vericileri oto sinyal verici grubu halne getirilmesi montajı (Polikarbonat malzemeden)</v>
          </cell>
          <cell r="C1135" t="str">
            <v>GU</v>
          </cell>
          <cell r="E1135">
            <v>0</v>
          </cell>
          <cell r="F1135">
            <v>20674580</v>
          </cell>
          <cell r="G1135">
            <v>34697165</v>
          </cell>
        </row>
        <row r="1136">
          <cell r="A1136" t="str">
            <v>TŞ-IŞ8/A</v>
          </cell>
          <cell r="B1136" t="str">
            <v>300 mm. Çaplı sinyal vericileri oto sinyal verici grup haline getirilmesi montajı (Alüminyum malzemeden)</v>
          </cell>
          <cell r="C1136" t="str">
            <v>GU</v>
          </cell>
          <cell r="E1136">
            <v>0</v>
          </cell>
          <cell r="F1136">
            <v>23110318</v>
          </cell>
        </row>
        <row r="1137">
          <cell r="A1137" t="str">
            <v>TŞ-IŞ9</v>
          </cell>
          <cell r="B1137" t="str">
            <v>Kamaşma panosunun sinyal verici grubuna montajı (200'lük ile 300'lük oto sinyal verici gruplarına)</v>
          </cell>
          <cell r="C1137" t="str">
            <v>AD</v>
          </cell>
          <cell r="E1137">
            <v>0</v>
          </cell>
          <cell r="F1137">
            <v>9272602</v>
          </cell>
          <cell r="G1137">
            <v>15229145</v>
          </cell>
        </row>
        <row r="1138">
          <cell r="A1138" t="str">
            <v>TŞ-Y1</v>
          </cell>
          <cell r="B1138" t="str">
            <v>Soğuk yol çizgi boyası ile yol çizgilerinin çizilmesi (Makine ile)</v>
          </cell>
          <cell r="C1138" t="str">
            <v>M2</v>
          </cell>
          <cell r="E1138">
            <v>1679366</v>
          </cell>
          <cell r="F1138">
            <v>2115506</v>
          </cell>
        </row>
        <row r="1139">
          <cell r="A1139" t="str">
            <v>TŞ-Y1/A</v>
          </cell>
          <cell r="B1139" t="str">
            <v>Soğuk yol çizgi boyası silinmesi</v>
          </cell>
          <cell r="C1139" t="str">
            <v>M2</v>
          </cell>
          <cell r="E1139">
            <v>1291223</v>
          </cell>
          <cell r="F1139">
            <v>1716216</v>
          </cell>
        </row>
        <row r="1140">
          <cell r="A1140" t="str">
            <v>TŞ-Y2</v>
          </cell>
          <cell r="B1140" t="str">
            <v>Termoplastik boya ile püskürtme (Sprey) yöntemiyle yol çizgilerinin çizilmesi (Makine ile) (1,5 mm. kalınlıkta)</v>
          </cell>
          <cell r="C1140" t="str">
            <v>M2</v>
          </cell>
          <cell r="E1140">
            <v>5191968</v>
          </cell>
          <cell r="F1140">
            <v>6412710</v>
          </cell>
          <cell r="H1140">
            <v>18036517</v>
          </cell>
        </row>
        <row r="1141">
          <cell r="A1141" t="str">
            <v>TŞ-Y2/A</v>
          </cell>
          <cell r="B1141" t="str">
            <v>Termoplastik boya ile püskürtme (Sprey) yöntemiyle yol çizgilerinin çizilmesi (Makine ile) (2 mm. kalınlıkta)</v>
          </cell>
          <cell r="C1141" t="str">
            <v>M2</v>
          </cell>
          <cell r="E1141">
            <v>6839282</v>
          </cell>
          <cell r="F1141">
            <v>8440501</v>
          </cell>
          <cell r="H1141">
            <v>23782006</v>
          </cell>
        </row>
        <row r="1142">
          <cell r="A1142" t="str">
            <v>TŞ-Y3</v>
          </cell>
          <cell r="B1142" t="str">
            <v>Yaya çizgi ekibinin 1 saatlik ücreti</v>
          </cell>
          <cell r="C1142" t="str">
            <v>SA</v>
          </cell>
          <cell r="E1142">
            <v>8333411</v>
          </cell>
          <cell r="F1142">
            <v>10998402</v>
          </cell>
          <cell r="H1142">
            <v>26796081</v>
          </cell>
        </row>
        <row r="1143">
          <cell r="A1143" t="str">
            <v>TŞ-Y4</v>
          </cell>
          <cell r="B1143" t="str">
            <v>Yaya geçitlerinin çizilmesi (Soğuk yol çizgi boyası ile)</v>
          </cell>
          <cell r="C1143" t="str">
            <v>M2</v>
          </cell>
          <cell r="E1143">
            <v>3158875</v>
          </cell>
          <cell r="F1143">
            <v>4096310</v>
          </cell>
        </row>
        <row r="1144">
          <cell r="A1144" t="str">
            <v>TŞ-Y4/A</v>
          </cell>
          <cell r="B1144" t="str">
            <v>Yaya geçitlerinin çizilmesi (Çift kompenantlı boya ile) (2 mm. kalınlıkta)</v>
          </cell>
          <cell r="C1144" t="str">
            <v>M2</v>
          </cell>
          <cell r="E1144">
            <v>9411878</v>
          </cell>
          <cell r="F1144">
            <v>10847150</v>
          </cell>
        </row>
        <row r="1145">
          <cell r="A1145" t="str">
            <v>TŞ-Y4/B</v>
          </cell>
          <cell r="B1145" t="str">
            <v>Yaya geçitlerinin çizilmesi (Çift kompenantlı boya ile) (3 mm. kalınlıkta)</v>
          </cell>
          <cell r="C1145" t="str">
            <v>M2</v>
          </cell>
          <cell r="E1145">
            <v>12439628</v>
          </cell>
          <cell r="F1145">
            <v>14065650</v>
          </cell>
        </row>
        <row r="1146">
          <cell r="A1146" t="str">
            <v>TŞ-Y4/C</v>
          </cell>
          <cell r="B1146" t="str">
            <v>Yaya geçitlerinin çizilmesi (Termoplastik boya ile) (3 mm. kalınlıkta)</v>
          </cell>
          <cell r="C1146" t="str">
            <v>M2</v>
          </cell>
          <cell r="E1146">
            <v>8283966</v>
          </cell>
          <cell r="F1146">
            <v>10478300</v>
          </cell>
        </row>
        <row r="1147">
          <cell r="A1147" t="str">
            <v>TŞ-Y5</v>
          </cell>
          <cell r="B1147" t="str">
            <v>Ofset taraması çizilmesi (Soğuk yol çizgi boyası ile)</v>
          </cell>
          <cell r="C1147" t="str">
            <v>M2</v>
          </cell>
          <cell r="E1147">
            <v>3529175</v>
          </cell>
          <cell r="F1147">
            <v>4598460</v>
          </cell>
        </row>
        <row r="1148">
          <cell r="A1148" t="str">
            <v>TŞ-Y5/A</v>
          </cell>
          <cell r="B1148" t="str">
            <v>Ofset taraması çizilmesi (Çift kompenantlı boya ile) (2 mm. kalınlığında)</v>
          </cell>
          <cell r="C1148" t="str">
            <v>M2</v>
          </cell>
          <cell r="E1148">
            <v>8837713</v>
          </cell>
          <cell r="F1148">
            <v>10292110</v>
          </cell>
          <cell r="H1148">
            <v>24815931</v>
          </cell>
        </row>
        <row r="1149">
          <cell r="A1149" t="str">
            <v>TŞ-Y5/B</v>
          </cell>
          <cell r="B1149" t="str">
            <v>Ofset taraması çizilmesi (Çift kompenantlı boya ile) (3 mm. kalınlığında)</v>
          </cell>
          <cell r="C1149" t="str">
            <v>M2</v>
          </cell>
          <cell r="E1149">
            <v>11451463</v>
          </cell>
          <cell r="F1149">
            <v>13065860</v>
          </cell>
        </row>
        <row r="1150">
          <cell r="A1150" t="str">
            <v>TŞ-Y5/C</v>
          </cell>
          <cell r="B1150" t="str">
            <v>Ofset taraması çizilmesi (Termoplastik boya ile) (3 mm. kalınlıkta)</v>
          </cell>
          <cell r="C1150" t="str">
            <v>M2</v>
          </cell>
          <cell r="E1150">
            <v>7956302</v>
          </cell>
          <cell r="F1150">
            <v>10103260</v>
          </cell>
        </row>
        <row r="1151">
          <cell r="A1151" t="str">
            <v>TŞ-Y6</v>
          </cell>
          <cell r="B1151" t="str">
            <v>Seyrek refüj taramaları çizilmesi(Soğuk yol çizgi boyası ile)</v>
          </cell>
          <cell r="C1151" t="str">
            <v>M2</v>
          </cell>
          <cell r="E1151">
            <v>2262286</v>
          </cell>
          <cell r="F1151">
            <v>2947035</v>
          </cell>
        </row>
        <row r="1152">
          <cell r="A1152" t="str">
            <v>TŞ-Y6/A</v>
          </cell>
          <cell r="B1152" t="str">
            <v>Seyrek refüj taramaları çizilmesi (Çift kompenantlı boya ile) (2 mm. kalınlıkta)</v>
          </cell>
          <cell r="C1152" t="str">
            <v>M2</v>
          </cell>
          <cell r="E1152">
            <v>6488250</v>
          </cell>
          <cell r="F1152">
            <v>7529810</v>
          </cell>
          <cell r="H1152">
            <v>18159546</v>
          </cell>
        </row>
        <row r="1153">
          <cell r="A1153" t="str">
            <v>TŞ-Y6/B</v>
          </cell>
          <cell r="B1153" t="str">
            <v>Seyrek refüj taramaları çizilmesi (Çift kompenantlı boya ile) (3 mm. kalınlıkta)</v>
          </cell>
          <cell r="C1153" t="str">
            <v>M2</v>
          </cell>
          <cell r="E1153">
            <v>8438000</v>
          </cell>
          <cell r="F1153">
            <v>9596310</v>
          </cell>
        </row>
        <row r="1154">
          <cell r="A1154" t="str">
            <v>TŞ-Y6/C</v>
          </cell>
          <cell r="B1154" t="str">
            <v>Seyrek refüj taramaları çizilmesi (Termoplastik boya ile) (3 mm. kalınlıkta)</v>
          </cell>
          <cell r="C1154" t="str">
            <v>M2</v>
          </cell>
          <cell r="E1154">
            <v>5915962</v>
          </cell>
          <cell r="F1154">
            <v>7505835</v>
          </cell>
        </row>
        <row r="1155">
          <cell r="A1155" t="str">
            <v>TŞ-Y7</v>
          </cell>
          <cell r="B1155" t="str">
            <v>Standart ok ve yazıların çizilmesi (Soğuk yol çizgi boyası ile)</v>
          </cell>
          <cell r="C1155" t="str">
            <v>AD</v>
          </cell>
          <cell r="E1155">
            <v>9850120</v>
          </cell>
          <cell r="F1155">
            <v>12694426</v>
          </cell>
        </row>
        <row r="1156">
          <cell r="A1156" t="str">
            <v>TŞ-Y7/A</v>
          </cell>
          <cell r="B1156" t="str">
            <v>Standart ok ve yazıların çizilmesi (Çift kompenantlı boya ile) (2 mm. kalınlıkta)</v>
          </cell>
          <cell r="C1156" t="str">
            <v>AD</v>
          </cell>
          <cell r="E1156">
            <v>35254233</v>
          </cell>
          <cell r="F1156">
            <v>39501851</v>
          </cell>
          <cell r="H1156">
            <v>94831570</v>
          </cell>
        </row>
        <row r="1157">
          <cell r="A1157" t="str">
            <v>TŞ-Y7/B</v>
          </cell>
          <cell r="B1157" t="str">
            <v>Standart ok ve yazıların çizilmesi (Çift kompenantlı boya ile) (3 mm. kalınlıkta)</v>
          </cell>
          <cell r="C1157" t="str">
            <v>AD</v>
          </cell>
          <cell r="E1157">
            <v>49649535</v>
          </cell>
          <cell r="F1157">
            <v>55037401</v>
          </cell>
        </row>
        <row r="1158">
          <cell r="A1158" t="str">
            <v>TŞ-Y7/C</v>
          </cell>
          <cell r="B1158" t="str">
            <v>Standart ok ve yazıların çizilmesi (Termoplastik boya ile) (3 mm. kalınlıkta)</v>
          </cell>
          <cell r="C1158" t="str">
            <v>AD</v>
          </cell>
          <cell r="E1158">
            <v>30080273</v>
          </cell>
          <cell r="F1158">
            <v>37609801</v>
          </cell>
        </row>
        <row r="1159">
          <cell r="A1159" t="str">
            <v>TŞ-Y8</v>
          </cell>
          <cell r="B1159" t="str">
            <v>Standart çift ok çizilmesi (Soğuk yol çizgi boyası ile)</v>
          </cell>
          <cell r="C1159" t="str">
            <v>AD</v>
          </cell>
          <cell r="E1159">
            <v>12505597</v>
          </cell>
          <cell r="F1159">
            <v>16154651</v>
          </cell>
        </row>
        <row r="1160">
          <cell r="A1160" t="str">
            <v>TŞ-Y8/A</v>
          </cell>
          <cell r="B1160" t="str">
            <v>Standart çift ok çizilmesi (Çift kompenantlı boya ile) (2 mm. kalınlıkta)</v>
          </cell>
          <cell r="C1160" t="str">
            <v>AD</v>
          </cell>
          <cell r="E1160">
            <v>39427336</v>
          </cell>
          <cell r="F1160">
            <v>44542576</v>
          </cell>
          <cell r="H1160">
            <v>107054340</v>
          </cell>
        </row>
        <row r="1161">
          <cell r="A1161" t="str">
            <v>TŞ-Y8/B</v>
          </cell>
          <cell r="B1161" t="str">
            <v>Standart çift ok çizilmesi (Çift kompenantlı boya ile) (3 mm. kalınlıkta)</v>
          </cell>
          <cell r="C1161" t="str">
            <v>AD</v>
          </cell>
          <cell r="E1161">
            <v>54769451</v>
          </cell>
          <cell r="F1161">
            <v>61093440</v>
          </cell>
        </row>
        <row r="1162">
          <cell r="A1162" t="str">
            <v>TŞ-Y8/C</v>
          </cell>
          <cell r="B1162" t="str">
            <v>Standart çift ok çizilmesi (Termoplastik boya ile) (3 mm. kalınlıkta)</v>
          </cell>
          <cell r="C1162" t="str">
            <v>AD</v>
          </cell>
          <cell r="E1162">
            <v>33183601</v>
          </cell>
          <cell r="F1162">
            <v>41616902</v>
          </cell>
        </row>
        <row r="1163">
          <cell r="A1163" t="str">
            <v>14.020/K-1</v>
          </cell>
          <cell r="B1163" t="str">
            <v>El ile kuruda veya suda 3 m2'den daha büyük kesitteki kutu veya kemer menfez ile her türlü mecra kanallarının içindeki batak balçık ve alüvyon vs. birikinti malzemelerin temizlenmesi</v>
          </cell>
          <cell r="C1163" t="str">
            <v>M3</v>
          </cell>
          <cell r="G1163">
            <v>16305000</v>
          </cell>
          <cell r="H1163">
            <v>23160000</v>
          </cell>
        </row>
        <row r="1164">
          <cell r="A1164" t="str">
            <v>14.020/K-3</v>
          </cell>
          <cell r="B1164" t="str">
            <v>El ile kuruda veya suda 1 m2 ve daha küçük kesitteki kutu veya kemer menfez ile her türlü mecra kanallarının içindeki batak balçık ve alüvyon vs. birikinti malzemelerin temizlenmesi</v>
          </cell>
          <cell r="C1164" t="str">
            <v>M3</v>
          </cell>
          <cell r="G1164">
            <v>25136875</v>
          </cell>
          <cell r="H1164">
            <v>35705000</v>
          </cell>
        </row>
        <row r="1165">
          <cell r="A1165" t="str">
            <v>2540/A</v>
          </cell>
          <cell r="B1165" t="str">
            <v>Bordürle çevrilmiş refüjlerde, esanjörlerde ve düz sahalarda bitkisel toprak tabakası teşkili</v>
          </cell>
          <cell r="C1165" t="str">
            <v>M3</v>
          </cell>
          <cell r="D1165">
            <v>13957</v>
          </cell>
          <cell r="H1165">
            <v>5067039</v>
          </cell>
        </row>
        <row r="1166">
          <cell r="A1166" t="str">
            <v>04.290/7</v>
          </cell>
          <cell r="B1166" t="str">
            <v xml:space="preserve">Cam elfay takviyeli (CTP) polyester, yol kenar dikmesi tip 5 </v>
          </cell>
          <cell r="C1166" t="str">
            <v>AD</v>
          </cell>
          <cell r="D1166">
            <v>0</v>
          </cell>
          <cell r="H1166">
            <v>6500000</v>
          </cell>
        </row>
        <row r="1167">
          <cell r="A1167" t="str">
            <v>3985/2A-1</v>
          </cell>
          <cell r="B1167" t="str">
            <v>Cam elfay takviyeli (CTP) polyester, yol kenar dikmesi tip 5 temini</v>
          </cell>
          <cell r="C1167" t="str">
            <v>AD</v>
          </cell>
          <cell r="D1167">
            <v>32569</v>
          </cell>
          <cell r="H1167">
            <v>8125000</v>
          </cell>
        </row>
        <row r="1168">
          <cell r="A1168" t="str">
            <v>23.176</v>
          </cell>
          <cell r="B1168" t="str">
            <v>Çeşitli demir işleri yapılması ve yerine konulması</v>
          </cell>
          <cell r="C1168" t="str">
            <v>KG</v>
          </cell>
          <cell r="D1168">
            <v>6604</v>
          </cell>
          <cell r="H1168">
            <v>2241981</v>
          </cell>
        </row>
        <row r="1169">
          <cell r="A1169" t="str">
            <v>03.010/3</v>
          </cell>
          <cell r="B1169" t="str">
            <v>Traktör buldozer (160 DHP gücünde, motor + bıçak)</v>
          </cell>
          <cell r="C1169" t="str">
            <v>AD</v>
          </cell>
          <cell r="D1169">
            <v>233654450</v>
          </cell>
          <cell r="H1169">
            <v>55744000000</v>
          </cell>
        </row>
        <row r="1170">
          <cell r="A1170" t="str">
            <v>03.045/3</v>
          </cell>
          <cell r="B1170" t="str">
            <v>Lastik tek.sil.(ken.yürür)(80-100 HP,35 ton st.ağır.)</v>
          </cell>
          <cell r="C1170" t="str">
            <v>AD</v>
          </cell>
          <cell r="D1170">
            <v>153916050</v>
          </cell>
          <cell r="H1170">
            <v>36724000000</v>
          </cell>
        </row>
        <row r="1171">
          <cell r="A1171" t="str">
            <v>01.408</v>
          </cell>
          <cell r="B1171" t="str">
            <v>Yağcı</v>
          </cell>
          <cell r="C1171" t="str">
            <v>SA</v>
          </cell>
          <cell r="D1171">
            <v>4444</v>
          </cell>
          <cell r="H1171">
            <v>1742000</v>
          </cell>
        </row>
        <row r="1172">
          <cell r="A1172" t="str">
            <v>01.403</v>
          </cell>
          <cell r="B1172" t="str">
            <v>Makinist</v>
          </cell>
          <cell r="C1172" t="str">
            <v>SA</v>
          </cell>
          <cell r="D1172">
            <v>6016</v>
          </cell>
          <cell r="H1172">
            <v>2359000</v>
          </cell>
        </row>
        <row r="1173">
          <cell r="A1173" t="str">
            <v>4300/PMB</v>
          </cell>
          <cell r="B1173" t="str">
            <v>Özel plentte Polimer Modifiye Bitüm (PMB) hazırlanması</v>
          </cell>
          <cell r="C1173" t="str">
            <v>TN</v>
          </cell>
          <cell r="D1173">
            <v>322746</v>
          </cell>
        </row>
        <row r="1174">
          <cell r="A1174" t="str">
            <v>4358/1</v>
          </cell>
          <cell r="B1174" t="str">
            <v>Bitümlü malzemenin sarnıç veya tanklarda emiş derecesinden tatbik derecesine kadar ısıtılması</v>
          </cell>
          <cell r="C1174" t="str">
            <v>TN</v>
          </cell>
          <cell r="D1174">
            <v>27682</v>
          </cell>
          <cell r="H1174">
            <v>10743080</v>
          </cell>
        </row>
        <row r="1175">
          <cell r="A1175" t="str">
            <v>1911/A</v>
          </cell>
          <cell r="B1175" t="str">
            <v>PMB'ün tesise ait özel servis tankında depolanması karşılığı</v>
          </cell>
          <cell r="C1175" t="str">
            <v>GÜN</v>
          </cell>
          <cell r="D1175">
            <v>158641</v>
          </cell>
          <cell r="I1175">
            <v>42513165</v>
          </cell>
        </row>
        <row r="1176">
          <cell r="A1176" t="str">
            <v>1943</v>
          </cell>
          <cell r="B1176" t="str">
            <v>Bir saatlik Polimer Modifiye Bitüm plentinin ücreti</v>
          </cell>
          <cell r="C1176" t="str">
            <v>SA</v>
          </cell>
          <cell r="D1176">
            <v>743285</v>
          </cell>
          <cell r="H1176">
            <v>68248047</v>
          </cell>
        </row>
        <row r="1177">
          <cell r="A1177" t="str">
            <v>4436/2</v>
          </cell>
          <cell r="B1177" t="str">
            <v>Büyük plent ünitesinde Polimer Modifiye Bitüm kullanılarak "Asfalt Betonu Kaplama" ve Bitümlü Sıcak Temel hazırlanması için gerekli ilave işler</v>
          </cell>
          <cell r="C1177" t="str">
            <v>TN</v>
          </cell>
          <cell r="D1177">
            <v>11104</v>
          </cell>
          <cell r="H1177">
            <v>4332078</v>
          </cell>
        </row>
        <row r="1178">
          <cell r="A1178" t="str">
            <v>ÖZEL/8</v>
          </cell>
          <cell r="B1178" t="str">
            <v>Soyulma mukavemetini artırıcı katkı (TAKRİBEN)</v>
          </cell>
          <cell r="C1178" t="str">
            <v>TN</v>
          </cell>
          <cell r="D1178">
            <v>0</v>
          </cell>
          <cell r="H1178">
            <v>7500000000</v>
          </cell>
        </row>
        <row r="1179">
          <cell r="A1179" t="str">
            <v>ÖZEL/9</v>
          </cell>
          <cell r="B1179" t="str">
            <v>Teker izini önleyici katkı (TAKRİBEN)</v>
          </cell>
          <cell r="C1179" t="str">
            <v>TN</v>
          </cell>
          <cell r="D1179">
            <v>0</v>
          </cell>
          <cell r="H1179">
            <v>2347631655</v>
          </cell>
        </row>
        <row r="1180">
          <cell r="A1180" t="str">
            <v>ÖZEL/10</v>
          </cell>
          <cell r="B1180" t="str">
            <v>Modifiye Bitüm için katkı maddesi (TAKRİBEN)</v>
          </cell>
          <cell r="C1180" t="str">
            <v>TN</v>
          </cell>
          <cell r="D1180">
            <v>0</v>
          </cell>
          <cell r="H1180">
            <v>4471627125</v>
          </cell>
        </row>
        <row r="1181">
          <cell r="A1181" t="str">
            <v>04.255</v>
          </cell>
          <cell r="B1181" t="str">
            <v>Lamalar</v>
          </cell>
          <cell r="C1181" t="str">
            <v>KG</v>
          </cell>
          <cell r="D1181">
            <v>1581</v>
          </cell>
          <cell r="H1181">
            <v>379000</v>
          </cell>
        </row>
        <row r="1182">
          <cell r="A1182" t="str">
            <v>04.256</v>
          </cell>
          <cell r="B1182" t="str">
            <v>Profil demirler (i-u-t-omega)</v>
          </cell>
          <cell r="C1182" t="str">
            <v>KG</v>
          </cell>
          <cell r="D1182">
            <v>1877</v>
          </cell>
          <cell r="H1182">
            <v>495000</v>
          </cell>
        </row>
        <row r="1183">
          <cell r="A1183" t="str">
            <v>01.013</v>
          </cell>
          <cell r="B1183" t="str">
            <v>Duvarcı ustası</v>
          </cell>
          <cell r="C1183" t="str">
            <v>SA</v>
          </cell>
          <cell r="D1183">
            <v>6016</v>
          </cell>
          <cell r="H1183">
            <v>2359000</v>
          </cell>
        </row>
        <row r="1184">
          <cell r="A1184" t="str">
            <v>01.018</v>
          </cell>
          <cell r="B1184" t="str">
            <v>Sıcak demirci ustası</v>
          </cell>
          <cell r="C1184" t="str">
            <v>SA</v>
          </cell>
          <cell r="D1184">
            <v>6016</v>
          </cell>
          <cell r="H1184">
            <v>2359000</v>
          </cell>
        </row>
        <row r="1185">
          <cell r="A1185" t="str">
            <v>PLENTMİKS</v>
          </cell>
          <cell r="I1185">
            <v>9191476</v>
          </cell>
        </row>
        <row r="1186">
          <cell r="A1186" t="str">
            <v>ÖZEL-11</v>
          </cell>
          <cell r="B1186" t="str">
            <v>Yüksek performanslı (basınçla yapışan) soğuk yapışkan reflektif malzeme</v>
          </cell>
          <cell r="C1186" t="str">
            <v>M2</v>
          </cell>
          <cell r="I1186">
            <v>69123275.831022426</v>
          </cell>
        </row>
        <row r="1187">
          <cell r="A1187" t="str">
            <v>01.507/1</v>
          </cell>
          <cell r="B1187" t="str">
            <v>Birinci sınıf usta yardımcısı</v>
          </cell>
          <cell r="C1187" t="str">
            <v>SA</v>
          </cell>
          <cell r="I1187">
            <v>2004000</v>
          </cell>
        </row>
        <row r="1188">
          <cell r="A1188" t="str">
            <v>01.508/1</v>
          </cell>
          <cell r="B1188" t="str">
            <v>İkinci sınıf usta yardımcısı</v>
          </cell>
          <cell r="C1188" t="str">
            <v>SA</v>
          </cell>
          <cell r="I1188">
            <v>2004000</v>
          </cell>
        </row>
        <row r="1189">
          <cell r="A1189" t="str">
            <v>003.538/2</v>
          </cell>
          <cell r="B1189" t="str">
            <v>Kamyonun 1 saatlik ücreti (120 HP gücünde, 7 ton kapasiteli)</v>
          </cell>
          <cell r="C1189" t="str">
            <v>SA</v>
          </cell>
          <cell r="I1189">
            <v>37797264</v>
          </cell>
        </row>
        <row r="1190">
          <cell r="A1190" t="str">
            <v>TŞ-D10/A</v>
          </cell>
          <cell r="I1190">
            <v>41849167</v>
          </cell>
        </row>
        <row r="1191">
          <cell r="A1191" t="str">
            <v>TŞ-D20/B-1</v>
          </cell>
          <cell r="I1191">
            <v>14906750</v>
          </cell>
        </row>
        <row r="1192">
          <cell r="A1192" t="str">
            <v>TŞ-D22</v>
          </cell>
          <cell r="I1192">
            <v>2605440</v>
          </cell>
        </row>
        <row r="1193">
          <cell r="A1193" t="str">
            <v>TŞ-D23/A</v>
          </cell>
        </row>
        <row r="1194">
          <cell r="A1194" t="str">
            <v>TŞ-D24/2</v>
          </cell>
          <cell r="B1194" t="str">
            <v>Levhaya tam reflektif malzeme yapıştırılması (reflektif malzeme dahil, yüksek performanslı)</v>
          </cell>
          <cell r="C1194" t="str">
            <v>M2</v>
          </cell>
          <cell r="I1194">
            <v>155519526</v>
          </cell>
        </row>
        <row r="1195">
          <cell r="A1195" t="str">
            <v>TŞ-D27</v>
          </cell>
          <cell r="I1195">
            <v>2428121865</v>
          </cell>
        </row>
        <row r="1196">
          <cell r="A1196" t="str">
            <v>TŞ-D30</v>
          </cell>
          <cell r="I1196">
            <v>33329167</v>
          </cell>
        </row>
      </sheetData>
      <sheetData sheetId="1"/>
      <sheetData sheetId="2"/>
      <sheetData sheetId="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1-193"/>
      <sheetName val="Sıralı Akım"/>
      <sheetName val="Grafik1"/>
      <sheetName val="Kor21-193 ve UzundalGöleti"/>
    </sheetNames>
    <sheetDataSet>
      <sheetData sheetId="0">
        <row r="8">
          <cell r="F8" t="str">
            <v>518,1</v>
          </cell>
        </row>
      </sheetData>
      <sheetData sheetId="1"/>
      <sheetData sheetId="2"/>
      <sheetData sheetId="3" refreshError="1"/>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1-193"/>
      <sheetName val="Sıralı Akım"/>
      <sheetName val="Grafik1"/>
      <sheetName val="Kor21-193 ve UzundalGöleti"/>
    </sheetNames>
    <sheetDataSet>
      <sheetData sheetId="0">
        <row r="8">
          <cell r="F8" t="str">
            <v>518,1</v>
          </cell>
        </row>
      </sheetData>
      <sheetData sheetId="1"/>
      <sheetData sheetId="2"/>
      <sheetData sheetId="3" refreshError="1"/>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ediment-O"/>
      <sheetName val="Sediment-T"/>
    </sheetNames>
    <sheetDataSet>
      <sheetData sheetId="0">
        <row r="13">
          <cell r="C13">
            <v>0.2</v>
          </cell>
        </row>
        <row r="17">
          <cell r="C17">
            <v>3.9100000000000003E-2</v>
          </cell>
        </row>
        <row r="18">
          <cell r="C18">
            <v>0.76910000000000001</v>
          </cell>
        </row>
        <row r="22">
          <cell r="C22">
            <v>6.2106000000000003</v>
          </cell>
        </row>
        <row r="23">
          <cell r="C23">
            <v>1.3605</v>
          </cell>
        </row>
      </sheetData>
      <sheetData sheetId="1" refreshError="1"/>
      <sheetData sheetId="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ediment-O"/>
      <sheetName val="Sediment-T"/>
    </sheetNames>
    <sheetDataSet>
      <sheetData sheetId="0">
        <row r="13">
          <cell r="C13">
            <v>0.2</v>
          </cell>
        </row>
        <row r="17">
          <cell r="C17">
            <v>3.9100000000000003E-2</v>
          </cell>
        </row>
        <row r="18">
          <cell r="C18">
            <v>0.76910000000000001</v>
          </cell>
        </row>
        <row r="22">
          <cell r="C22">
            <v>6.2106000000000003</v>
          </cell>
        </row>
        <row r="23">
          <cell r="C23">
            <v>1.3605</v>
          </cell>
        </row>
      </sheetData>
      <sheetData sheetId="1" refreshError="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DEFTER"/>
      <sheetName val="NAKLİYE"/>
      <sheetName val="ZAM TARİHLERİ"/>
      <sheetName val="Üst Yapı"/>
    </sheetNames>
    <sheetDataSet>
      <sheetData sheetId="0"/>
      <sheetData sheetId="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sera CIKTI"/>
      <sheetName val="tarla CIKTI"/>
      <sheetName val="Tablo -1"/>
      <sheetName val="Tablo-2-3"/>
      <sheetName val="Tablo-2-3 (2)"/>
      <sheetName val="Tablo -4 "/>
      <sheetName val="Sayfa3"/>
      <sheetName val="T-5 PAL-ÇAV-OVA SULAMA"/>
      <sheetName val="Tablo3.44"/>
      <sheetName val="Tablo3.45"/>
      <sheetName val="Tablo3.46"/>
      <sheetName val="Tablo3.37"/>
      <sheetName val="Tablo 3.36"/>
      <sheetName val="Tablo3.42"/>
      <sheetName val="Tablo3.43"/>
      <sheetName val="Tablo 3.3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sera CIKTI"/>
      <sheetName val="tarla CIKTI"/>
      <sheetName val="Tablo -1"/>
      <sheetName val="Tablo-2-3"/>
      <sheetName val="Tablo-2-3 (2)"/>
      <sheetName val="Tablo -4 "/>
      <sheetName val="Sayfa3"/>
      <sheetName val="T-5 PAL-ÇAV-OVA SULAMA"/>
      <sheetName val="Tablo3.44"/>
      <sheetName val="Tablo3.45"/>
      <sheetName val="Tablo3.46"/>
      <sheetName val="Tablo3.37"/>
      <sheetName val="Tablo 3.36"/>
      <sheetName val="Tablo3.42"/>
      <sheetName val="Tablo3.43"/>
      <sheetName val="Tablo 3.3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L BILGI"/>
      <sheetName val="BF_LISTESI"/>
      <sheetName val="ANALIZ 2003"/>
      <sheetName val="Sayfa1"/>
      <sheetName val="ANALIZ 2004"/>
      <sheetName val="Sheet1"/>
      <sheetName val="Sheet3"/>
      <sheetName val="BF_LISTESI (2)"/>
      <sheetName val="TCK&amp;Rayic2004_BeyazKitap"/>
      <sheetName val="RayicVeTCK2004F_YANLIS"/>
      <sheetName val="Sayfa2"/>
      <sheetName val="Sayfa3"/>
    </sheetNames>
    <sheetDataSet>
      <sheetData sheetId="0" refreshError="1"/>
      <sheetData sheetId="1" refreshError="1"/>
      <sheetData sheetId="2"/>
      <sheetData sheetId="3" refreshError="1">
        <row r="4">
          <cell r="B4" t="str">
            <v>ANALİZİN ADI:</v>
          </cell>
          <cell r="F4" t="str">
            <v>ÖLÇÜ</v>
          </cell>
        </row>
        <row r="5">
          <cell r="B5" t="str">
            <v xml:space="preserve">Ocak Taşından İst.Tiplerde Konkasörle kırılmış ve elenmiş asfalt mıcırı temini </v>
          </cell>
          <cell r="F5" t="str">
            <v>m3</v>
          </cell>
        </row>
        <row r="7">
          <cell r="B7" t="str">
            <v>2004 YILI BİRİM FİYATLARIYLA</v>
          </cell>
        </row>
        <row r="8">
          <cell r="B8" t="str">
            <v>Cinsi</v>
          </cell>
          <cell r="C8" t="str">
            <v>Birim</v>
          </cell>
          <cell r="D8" t="str">
            <v>Miktarı</v>
          </cell>
          <cell r="E8" t="str">
            <v>Birim Fiyat</v>
          </cell>
          <cell r="F8" t="str">
            <v>Tutar</v>
          </cell>
        </row>
        <row r="10">
          <cell r="B10" t="str">
            <v>Ocak taşından ist.tiplerde konkasörle kırılmış ve elenmiş asfalt mıcırı temini ve yıkanması</v>
          </cell>
        </row>
        <row r="11">
          <cell r="C11" t="str">
            <v>m3</v>
          </cell>
          <cell r="D11">
            <v>1</v>
          </cell>
          <cell r="E11">
            <v>18817880</v>
          </cell>
          <cell r="F11">
            <v>18817880</v>
          </cell>
        </row>
        <row r="14">
          <cell r="B14" t="str">
            <v>AGREGANIN YIKANMASI KARŞILIĞI:</v>
          </cell>
        </row>
        <row r="15">
          <cell r="B15" t="str">
            <v>Makinaya Yükleme ve Makine Altından Alıp Depoya Boşaltılma Karşılığı:</v>
          </cell>
        </row>
        <row r="18">
          <cell r="B18" t="str">
            <v>1 saat.last.tek.yük.üc.(1 1/2 yd3 ve 5500 lib.taş.güçlü, takriben 80 dHP muadili)</v>
          </cell>
          <cell r="C18" t="str">
            <v>SA</v>
          </cell>
          <cell r="D18">
            <v>0.02</v>
          </cell>
          <cell r="E18">
            <v>25282888</v>
          </cell>
          <cell r="F18">
            <v>-505657.76</v>
          </cell>
        </row>
        <row r="21">
          <cell r="B21" t="str">
            <v>Yıkama Karşılığı:</v>
          </cell>
        </row>
        <row r="22">
          <cell r="B22" t="str">
            <v>1 Saatlik yıkama makinası ücreti (Takriben 30 HP gücünde, saatte ortalama 25 m3 kapasiteli)</v>
          </cell>
          <cell r="C22" t="str">
            <v>SA</v>
          </cell>
          <cell r="D22">
            <v>0.04</v>
          </cell>
          <cell r="E22">
            <v>14548765</v>
          </cell>
          <cell r="F22">
            <v>-581950.6</v>
          </cell>
        </row>
        <row r="25">
          <cell r="B25" t="str">
            <v>Suyun Temini, Ortalama 150 m. Mesafeye Kadar Taşınması ve Yıkama Makinesine Verilmesi Karşılığı:</v>
          </cell>
        </row>
        <row r="27">
          <cell r="B27" t="str">
            <v>1 saatlik motorlu tulumba ücreti (20 ps.)</v>
          </cell>
          <cell r="C27" t="str">
            <v>SA</v>
          </cell>
          <cell r="D27">
            <v>0.03</v>
          </cell>
          <cell r="E27">
            <v>6484872</v>
          </cell>
          <cell r="F27">
            <v>-194546.16</v>
          </cell>
        </row>
        <row r="29">
          <cell r="B29" t="str">
            <v>YIKAMA MAKİNASINA SU TAŞINMASI KARŞILIĞI:</v>
          </cell>
        </row>
        <row r="30">
          <cell r="B30" t="str">
            <v>Yıkama Makinasına Su Nakli</v>
          </cell>
          <cell r="C30" t="str">
            <v>TN</v>
          </cell>
          <cell r="D30">
            <v>1</v>
          </cell>
          <cell r="E30">
            <v>2016000</v>
          </cell>
          <cell r="F30">
            <v>-2016000</v>
          </cell>
        </row>
        <row r="31">
          <cell r="B31" t="str">
            <v>F=K x (0,0007 x M + 0,01)</v>
          </cell>
        </row>
        <row r="32">
          <cell r="B32" t="str">
            <v>M=20 Km.</v>
          </cell>
        </row>
        <row r="36">
          <cell r="B36" t="str">
            <v>NOT : TAŞIN OCAKTAN KONKASÖRE NAKLİ VE AGREGANIN KONKASÖRDEN ŞANTİYEYE SAHASINA  (PLENT SAHASINA) NAKLİ  ÖDENMEYECEKTİR.</v>
          </cell>
        </row>
        <row r="47">
          <cell r="B47" t="str">
            <v xml:space="preserve">T O P L A M </v>
          </cell>
          <cell r="F47">
            <v>15519725.479999997</v>
          </cell>
        </row>
        <row r="48">
          <cell r="B48" t="str">
            <v>%25 Yüklenici karı ve genel giderler :</v>
          </cell>
          <cell r="F48">
            <v>3879931</v>
          </cell>
        </row>
        <row r="49">
          <cell r="B49" t="str">
            <v xml:space="preserve">2004 YILI FİYATI (Kar ve genel giderler dahil 1 M3 fiyatı)  (TL) </v>
          </cell>
          <cell r="F49">
            <v>19399656</v>
          </cell>
        </row>
        <row r="50">
          <cell r="B50" t="str">
            <v>2005 YILI FİYATI (Kar ve genel giderler dahil 1 M3 fiyatı)(YTL)(8403,8/7382,1=%13,84)</v>
          </cell>
          <cell r="F50">
            <v>22.08</v>
          </cell>
        </row>
        <row r="51">
          <cell r="B51" t="str">
            <v>İşin Keşif bedeli</v>
          </cell>
          <cell r="C51">
            <v>465330</v>
          </cell>
          <cell r="D51" t="str">
            <v>YTL</v>
          </cell>
        </row>
        <row r="52">
          <cell r="B52" t="str">
            <v>İşin sözleşme bedeli</v>
          </cell>
          <cell r="C52">
            <v>252640</v>
          </cell>
          <cell r="D52" t="str">
            <v>YTL</v>
          </cell>
        </row>
        <row r="53">
          <cell r="B53" t="str">
            <v>İşin tenzilatı(1-işin sözleşme bedeli/İşin keşfi)</v>
          </cell>
          <cell r="D53">
            <v>0.45707347473835769</v>
          </cell>
        </row>
        <row r="54">
          <cell r="B54" t="str">
            <v>İş kaleminin sözleşme bedeli(YTL)</v>
          </cell>
          <cell r="F54">
            <v>10.092182322222937</v>
          </cell>
        </row>
        <row r="55">
          <cell r="B55" t="str">
            <v xml:space="preserve">DÜZENLEYEN </v>
          </cell>
          <cell r="C55" t="str">
            <v>KONTROL EDEN</v>
          </cell>
          <cell r="E55" t="str">
            <v>ONAYLAYAN</v>
          </cell>
        </row>
        <row r="56">
          <cell r="B56">
            <v>38539</v>
          </cell>
          <cell r="C56">
            <v>38539</v>
          </cell>
          <cell r="E56">
            <v>38539</v>
          </cell>
        </row>
        <row r="64">
          <cell r="B64" t="str">
            <v>Muzaffer Oktay</v>
          </cell>
          <cell r="C64" t="str">
            <v>Kenan KESKİN</v>
          </cell>
          <cell r="E64" t="str">
            <v>Şemsettin ZEREN</v>
          </cell>
        </row>
        <row r="65">
          <cell r="B65" t="str">
            <v>Kontrol Şefi</v>
          </cell>
          <cell r="C65" t="str">
            <v>Asfalt Başmüh.</v>
          </cell>
          <cell r="E65" t="str">
            <v>BÖLGE MÜDÜRÜ YRD.</v>
          </cell>
        </row>
      </sheetData>
      <sheetData sheetId="4"/>
      <sheetData sheetId="5"/>
      <sheetData sheetId="6"/>
      <sheetData sheetId="7"/>
      <sheetData sheetId="8"/>
      <sheetData sheetId="9"/>
      <sheetData sheetId="10"/>
      <sheetData sheetId="1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ÇIKLAMALAR"/>
      <sheetName val="Muay.ArçSay.2001"/>
      <sheetName val="Tesc.ArçSay.2001"/>
      <sheetName val="Yıllara Göre Muay Sonuç."/>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7"/>
      <sheetName val="48"/>
      <sheetName val="49"/>
      <sheetName val="50"/>
      <sheetName val="51"/>
      <sheetName val="52"/>
      <sheetName val="53"/>
      <sheetName val="54"/>
      <sheetName val="55"/>
      <sheetName val="5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5">
          <cell r="F5" t="str">
            <v>BOYA</v>
          </cell>
        </row>
      </sheetData>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BASLIKLAR"/>
      <sheetName val="OZET"/>
      <sheetName val="ANALIZ"/>
      <sheetName val="YA_OZ"/>
    </sheetNames>
    <sheetDataSet>
      <sheetData sheetId="0" refreshError="1">
        <row r="5">
          <cell r="B5">
            <v>4.38</v>
          </cell>
          <cell r="C5">
            <v>6397</v>
          </cell>
          <cell r="D5">
            <v>27962.82228</v>
          </cell>
        </row>
        <row r="6">
          <cell r="B6">
            <v>22.9</v>
          </cell>
          <cell r="C6">
            <v>11</v>
          </cell>
          <cell r="D6">
            <v>251.39619999999996</v>
          </cell>
        </row>
        <row r="7">
          <cell r="D7">
            <v>28214.21848</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gir"/>
      <sheetName val="CIKTI"/>
      <sheetName val="ÖZET"/>
      <sheetName val="Sayfa2"/>
    </sheetNames>
    <sheetDataSet>
      <sheetData sheetId="0"/>
      <sheetData sheetId="1"/>
      <sheetData sheetId="2" refreshError="1"/>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gir"/>
      <sheetName val="CIKTI"/>
      <sheetName val="ÖZET"/>
      <sheetName val="Sayfa2"/>
    </sheetNames>
    <sheetDataSet>
      <sheetData sheetId="0"/>
      <sheetData sheetId="1"/>
      <sheetData sheetId="2" refreshError="1"/>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gir"/>
      <sheetName val="CIKTI"/>
      <sheetName val="S ve Y"/>
      <sheetName val="FAO"/>
      <sheetName val="KAR"/>
      <sheetName val="FAO P_M (2)"/>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1"/>
      <sheetName val="İ2"/>
      <sheetName val="İ3"/>
      <sheetName val="İ4"/>
      <sheetName val="İ5"/>
      <sheetName val="İ6"/>
      <sheetName val="İ7"/>
      <sheetName val="İ8"/>
      <sheetName val="İ9-1A"/>
      <sheetName val="İ9-1B"/>
      <sheetName val="İ9-2A"/>
      <sheetName val="İ9-2B"/>
      <sheetName val="İ9-3A"/>
      <sheetName val="İ9-3B"/>
      <sheetName val="İ9-4A"/>
      <sheetName val="İ9-4B"/>
      <sheetName val="İ9-4.1A"/>
      <sheetName val="İ9-4.1B"/>
      <sheetName val="İ9-4.2A"/>
      <sheetName val="İ9-4.2B"/>
      <sheetName val="İ9-4.3A"/>
      <sheetName val="İ9-4.3B"/>
      <sheetName val="İ9-4.4A"/>
      <sheetName val="İ9-4.4B"/>
      <sheetName val="İ9-4.5A"/>
      <sheetName val="İ9-4.5B"/>
      <sheetName val="İ9-4.6A"/>
      <sheetName val="İ9-4.6B"/>
      <sheetName val="İ9-4.7A"/>
      <sheetName val="İ9-4.7B"/>
      <sheetName val="İ9-4.8A"/>
      <sheetName val="İ9-4.8B"/>
      <sheetName val="İ9-4.9A"/>
      <sheetName val="İ9-4.9B"/>
      <sheetName val="İ9-4.10A"/>
      <sheetName val="İ9-4.10B  "/>
      <sheetName val="İ9-4.11A"/>
      <sheetName val="İ9-4.11B"/>
      <sheetName val="İ9-4.12A"/>
      <sheetName val="İ9-4.12B"/>
      <sheetName val="İ9-4.13A"/>
      <sheetName val="İ9-4.13B"/>
      <sheetName val="İ9-5A"/>
      <sheetName val="İ9-5B"/>
      <sheetName val="İ9-5.1A"/>
      <sheetName val="İ9-5.1B"/>
      <sheetName val="İ9-5.2A"/>
      <sheetName val="İ9-5.2B"/>
      <sheetName val="İ9-5.3A"/>
      <sheetName val="İ9-5.3B"/>
      <sheetName val="İ9-5.4A"/>
      <sheetName val="İ9-5.4B"/>
      <sheetName val="İ9-5.5A"/>
      <sheetName val="İ9-5.5B"/>
      <sheetName val="İ9-5.6A"/>
      <sheetName val="İ9-5.6B"/>
      <sheetName val="İ9-5.7A"/>
      <sheetName val="İ9-5.7B"/>
      <sheetName val="İ9-5.8A"/>
      <sheetName val="İ9-5.8B"/>
      <sheetName val="İ9-5.9A"/>
      <sheetName val="İ9-5.9B"/>
      <sheetName val="İ9-6A"/>
      <sheetName val="İ9-6B"/>
      <sheetName val="İ9-6.1A"/>
      <sheetName val="İ9-6.1B"/>
      <sheetName val="İ9-6.2A"/>
      <sheetName val="İ9-6.2B"/>
      <sheetName val="İ9-6.3A"/>
      <sheetName val="İ9-6.3B"/>
      <sheetName val="İ9-6.4A"/>
      <sheetName val="İ9-6.4B"/>
      <sheetName val="İ9-7A"/>
      <sheetName val="İ9-7B"/>
      <sheetName val="İ9-7.1A"/>
      <sheetName val="İ9-7.1B"/>
      <sheetName val="İ9-7.2A"/>
      <sheetName val="İ9-7.2B"/>
      <sheetName val="İ10-1"/>
      <sheetName val="İ10-2"/>
      <sheetName val="İ10-4"/>
      <sheetName val="İ10-3"/>
      <sheetName val="İ10-4.1"/>
      <sheetName val="İ10-4.2"/>
      <sheetName val="İ10-4.3"/>
      <sheetName val="İ10-4.4"/>
      <sheetName val="İ10-4.5"/>
      <sheetName val="İ10-4.6"/>
      <sheetName val="İ10-4.7"/>
      <sheetName val="İ10-4.8"/>
      <sheetName val="İ10-4.9"/>
      <sheetName val="İ10-4.10"/>
      <sheetName val="İ10-4.11"/>
      <sheetName val="İ10-4.12"/>
      <sheetName val="İ10-4.13"/>
      <sheetName val="İ10-5"/>
      <sheetName val="İ10-5.1"/>
      <sheetName val="İ10-5.2"/>
      <sheetName val="İ10-5.3"/>
      <sheetName val="İ10-5.4"/>
      <sheetName val="İ10-5.5A"/>
      <sheetName val="İ10-5.5B"/>
      <sheetName val="İ10-5.6A"/>
      <sheetName val="İ10-5.6B"/>
      <sheetName val="İ10-5.7"/>
      <sheetName val="İ10-5.8"/>
      <sheetName val="İ10-5.9"/>
      <sheetName val="İ10-6"/>
      <sheetName val="İ10-6.1"/>
      <sheetName val="İ10-6.2"/>
      <sheetName val="İ10-6.3"/>
      <sheetName val="İ10-6.4"/>
      <sheetName val="İ10-7"/>
      <sheetName val="İ10-7.1"/>
      <sheetName val="İ10-7.2"/>
      <sheetName val="İ11"/>
      <sheetName val="İ12"/>
      <sheetName val="İ13-1.1"/>
      <sheetName val="İ13-1.2"/>
      <sheetName val="İ13-1.3"/>
      <sheetName val="İ13-2.1"/>
      <sheetName val="İ13-2.2"/>
      <sheetName val="İ13-2.3"/>
      <sheetName val="İ13-3"/>
      <sheetName val="İ13-4.1"/>
      <sheetName val="İ13-4.2"/>
      <sheetName val="İ13-4.3"/>
      <sheetName val="İ13-5A"/>
      <sheetName val="İ13-5B"/>
      <sheetName val="İ13-5.1"/>
      <sheetName val="İ13-5.2"/>
      <sheetName val="İ13-5.3"/>
      <sheetName val="İ13-5.4"/>
      <sheetName val="İ13-5.5"/>
      <sheetName val="İ13-5.6"/>
      <sheetName val="İ13-5.7"/>
      <sheetName val="İ13-5.8"/>
      <sheetName val="İ13-5.9"/>
      <sheetName val="İ13-5.10"/>
      <sheetName val="İ13-5.11"/>
      <sheetName val="İ13-5.12"/>
      <sheetName val="İ13-5.13"/>
      <sheetName val="İ13-6.1"/>
      <sheetName val="İ13-6.2"/>
      <sheetName val="İ13-6.3"/>
      <sheetName val="İ13-7A"/>
      <sheetName val="İ13-7B"/>
      <sheetName val="İ13-7.1"/>
      <sheetName val="İ13-7.2"/>
      <sheetName val="İ13-7.3"/>
      <sheetName val="İ13-7.4"/>
      <sheetName val="İ13-7.5"/>
      <sheetName val="İ13-7.6"/>
      <sheetName val="İ13-7.7"/>
      <sheetName val="İ13-7.8"/>
      <sheetName val="İ13.7.9"/>
      <sheetName val="İ13-8.1"/>
      <sheetName val="İ13-8.2"/>
      <sheetName val="İ13-8.3"/>
      <sheetName val="İ13-9A"/>
      <sheetName val="İ13-9B"/>
      <sheetName val="İ13-9.1A"/>
      <sheetName val="İ13-9.1B"/>
      <sheetName val="İ13-9.2A"/>
      <sheetName val="İ13-9.2B"/>
      <sheetName val="İ13-9.3A"/>
      <sheetName val="İ13-9.3B"/>
      <sheetName val="İ13-9.4"/>
      <sheetName val="İ13-10.1"/>
      <sheetName val="İ13-10.2"/>
      <sheetName val="İ13-10.3"/>
      <sheetName val="İ13-11A"/>
      <sheetName val="İ13-11B"/>
      <sheetName val="İ13-11.1A"/>
      <sheetName val="İ13-11.1B"/>
      <sheetName val="İ13-11.2"/>
      <sheetName val="İ13-12"/>
      <sheetName val="İ14"/>
      <sheetName val="Şekil 3.İ1_"/>
      <sheetName val="Şİ2-1.1"/>
      <sheetName val="Şİ2-1.2"/>
      <sheetName val="Şİ2-2.1"/>
      <sheetName val="Şİ2-2.2"/>
      <sheetName val="Şİ2-3"/>
      <sheetName val="Şİ2-4.1"/>
      <sheetName val="Şİ2-4.2"/>
      <sheetName val="Şİ2-5"/>
      <sheetName val="Şİ2-5.1"/>
      <sheetName val="Şİ2-5.2"/>
      <sheetName val="Şİ2-5.3"/>
      <sheetName val="Şİ2-5.4"/>
      <sheetName val="Şİ2-5.5"/>
      <sheetName val="Şİ2-5.6"/>
      <sheetName val="Şİ2-5.7"/>
      <sheetName val="Şİ2-5.8"/>
      <sheetName val="Şİ2-5.9"/>
      <sheetName val="Şİ2-5.10"/>
      <sheetName val="Şİ2-5.11"/>
      <sheetName val="Şİ2-5.12"/>
      <sheetName val="Şİ2-5.13"/>
      <sheetName val="Şİ2-6.1"/>
      <sheetName val="Şİ2-6.2"/>
      <sheetName val="Şİ2-7"/>
      <sheetName val="Şİ2-7.1"/>
      <sheetName val="Şİ2-7.2"/>
      <sheetName val="Şİ2-7.3"/>
      <sheetName val="Şİ2-7.4"/>
      <sheetName val="Şİ2-7.5"/>
      <sheetName val="Şİ2-7.6"/>
      <sheetName val="Şİ2-7.7"/>
      <sheetName val="Şİ2-7.8"/>
      <sheetName val="Şİ2-7.9"/>
      <sheetName val="Şİ2-8.1"/>
      <sheetName val="Şİ2-8.2"/>
      <sheetName val="Şİ2-9"/>
      <sheetName val="Şİ2-9.1"/>
      <sheetName val="Şİ2-9.2"/>
      <sheetName val="Şİ2-9.4"/>
      <sheetName val="Şİ2-9.3"/>
      <sheetName val="Şİ2-10.1"/>
      <sheetName val="Şİ2-10.2"/>
      <sheetName val="Şİ2-11"/>
      <sheetName val="Şİ2-11.1"/>
      <sheetName val="Şİ2-11.2"/>
      <sheetName val="Şİ2-12"/>
      <sheetName val="Ş3.i3-1"/>
      <sheetName val="Ş3.i3-2"/>
      <sheetName val="Ş3.i3-3"/>
      <sheetName val="Ş3.i3-4"/>
      <sheetName val="Ş3.i3-5"/>
      <sheetName val="Ş3.i3-6"/>
    </sheetNames>
    <sheetDataSet>
      <sheetData sheetId="0">
        <row r="45">
          <cell r="C45" t="str">
            <v>İ - 1</v>
          </cell>
        </row>
      </sheetData>
      <sheetData sheetId="1">
        <row r="10">
          <cell r="D10">
            <v>28.752896773828326</v>
          </cell>
        </row>
      </sheetData>
      <sheetData sheetId="2" refreshError="1"/>
      <sheetData sheetId="3" refreshError="1"/>
      <sheetData sheetId="4" refreshError="1"/>
      <sheetData sheetId="5" refreshError="1"/>
      <sheetData sheetId="6" refreshError="1"/>
      <sheetData sheetId="7" refreshError="1"/>
      <sheetData sheetId="8">
        <row r="5">
          <cell r="B5">
            <v>23.73</v>
          </cell>
        </row>
      </sheetData>
      <sheetData sheetId="9">
        <row r="6">
          <cell r="D6">
            <v>14.206701370905233</v>
          </cell>
        </row>
      </sheetData>
      <sheetData sheetId="10">
        <row r="5">
          <cell r="B5">
            <v>14.353999999999999</v>
          </cell>
        </row>
      </sheetData>
      <sheetData sheetId="11">
        <row r="6">
          <cell r="C6">
            <v>5.176450965967434</v>
          </cell>
        </row>
      </sheetData>
      <sheetData sheetId="12">
        <row r="5">
          <cell r="B5">
            <v>28.12</v>
          </cell>
        </row>
      </sheetData>
      <sheetData sheetId="13">
        <row r="6">
          <cell r="F6">
            <v>21.640206274886587</v>
          </cell>
        </row>
      </sheetData>
      <sheetData sheetId="14" refreshError="1"/>
      <sheetData sheetId="15">
        <row r="7">
          <cell r="F7">
            <v>31.243924309315027</v>
          </cell>
        </row>
      </sheetData>
      <sheetData sheetId="16">
        <row r="5">
          <cell r="B5">
            <v>25.95</v>
          </cell>
        </row>
      </sheetData>
      <sheetData sheetId="17">
        <row r="6">
          <cell r="D6">
            <v>17.203668294421856</v>
          </cell>
        </row>
      </sheetData>
      <sheetData sheetId="18">
        <row r="5">
          <cell r="B5">
            <v>11.9</v>
          </cell>
        </row>
      </sheetData>
      <sheetData sheetId="19">
        <row r="6">
          <cell r="B6">
            <v>2.4202479785455413</v>
          </cell>
        </row>
      </sheetData>
      <sheetData sheetId="20">
        <row r="5">
          <cell r="B5">
            <v>6.28</v>
          </cell>
        </row>
      </sheetData>
      <sheetData sheetId="21">
        <row r="6">
          <cell r="B6">
            <v>3.07218382601424</v>
          </cell>
        </row>
        <row r="7">
          <cell r="B7">
            <v>6.6349088851570936</v>
          </cell>
        </row>
        <row r="8">
          <cell r="B8">
            <v>9.6686128200125179</v>
          </cell>
        </row>
        <row r="9">
          <cell r="B9">
            <v>14.097663290432866</v>
          </cell>
        </row>
        <row r="10">
          <cell r="B10">
            <v>17.736267355895937</v>
          </cell>
        </row>
        <row r="11">
          <cell r="B11">
            <v>21.596187960323299</v>
          </cell>
        </row>
      </sheetData>
      <sheetData sheetId="22">
        <row r="5">
          <cell r="B5">
            <v>8.66</v>
          </cell>
        </row>
      </sheetData>
      <sheetData sheetId="23">
        <row r="7">
          <cell r="B7">
            <v>1.9408953677873251</v>
          </cell>
        </row>
      </sheetData>
      <sheetData sheetId="24">
        <row r="5">
          <cell r="B5">
            <v>8.83</v>
          </cell>
        </row>
      </sheetData>
      <sheetData sheetId="25">
        <row r="7">
          <cell r="B7">
            <v>2.2780469747660241</v>
          </cell>
        </row>
      </sheetData>
      <sheetData sheetId="26">
        <row r="5">
          <cell r="B5">
            <v>6.97</v>
          </cell>
        </row>
      </sheetData>
      <sheetData sheetId="27">
        <row r="7">
          <cell r="B7">
            <v>2.5043333688744278</v>
          </cell>
        </row>
      </sheetData>
      <sheetData sheetId="28">
        <row r="5">
          <cell r="B5">
            <v>11.96</v>
          </cell>
        </row>
      </sheetData>
      <sheetData sheetId="29">
        <row r="7">
          <cell r="B7">
            <v>5.1083236179994014</v>
          </cell>
        </row>
      </sheetData>
      <sheetData sheetId="30">
        <row r="5">
          <cell r="B5">
            <v>4.72</v>
          </cell>
        </row>
      </sheetData>
      <sheetData sheetId="31">
        <row r="6">
          <cell r="B6">
            <v>1.4601134273562524</v>
          </cell>
        </row>
      </sheetData>
      <sheetData sheetId="32">
        <row r="5">
          <cell r="B5">
            <v>8.42</v>
          </cell>
        </row>
      </sheetData>
      <sheetData sheetId="33">
        <row r="6">
          <cell r="B6">
            <v>2.5188926358932635</v>
          </cell>
        </row>
      </sheetData>
      <sheetData sheetId="34">
        <row r="5">
          <cell r="B5">
            <v>16.690000000000001</v>
          </cell>
        </row>
      </sheetData>
      <sheetData sheetId="35">
        <row r="7">
          <cell r="C7">
            <v>4.6932043280207294</v>
          </cell>
        </row>
      </sheetData>
      <sheetData sheetId="36">
        <row r="5">
          <cell r="B5">
            <v>1.93</v>
          </cell>
        </row>
      </sheetData>
      <sheetData sheetId="37">
        <row r="7">
          <cell r="B7">
            <v>1.0165330062143976</v>
          </cell>
        </row>
      </sheetData>
      <sheetData sheetId="38">
        <row r="5">
          <cell r="B5">
            <v>2.4049999999999998</v>
          </cell>
        </row>
      </sheetData>
      <sheetData sheetId="39">
        <row r="7">
          <cell r="B7">
            <v>0.70575156736700706</v>
          </cell>
        </row>
      </sheetData>
      <sheetData sheetId="40">
        <row r="5">
          <cell r="B5">
            <v>9.0299999999999994</v>
          </cell>
        </row>
      </sheetData>
      <sheetData sheetId="41">
        <row r="7">
          <cell r="C7">
            <v>5.1812439629660147</v>
          </cell>
        </row>
      </sheetData>
      <sheetData sheetId="42">
        <row r="5">
          <cell r="D5">
            <v>1.8769139251027347E-3</v>
          </cell>
        </row>
      </sheetData>
      <sheetData sheetId="43">
        <row r="7">
          <cell r="C7">
            <v>6.6480596237905498</v>
          </cell>
        </row>
      </sheetData>
      <sheetData sheetId="44">
        <row r="5">
          <cell r="B5">
            <v>5.32</v>
          </cell>
        </row>
      </sheetData>
      <sheetData sheetId="45">
        <row r="7">
          <cell r="B7">
            <v>2.3439157166155664</v>
          </cell>
        </row>
      </sheetData>
      <sheetData sheetId="46">
        <row r="5">
          <cell r="B5">
            <v>5.96</v>
          </cell>
        </row>
      </sheetData>
      <sheetData sheetId="47">
        <row r="7">
          <cell r="B7">
            <v>1.5814787421654821</v>
          </cell>
        </row>
      </sheetData>
      <sheetData sheetId="48">
        <row r="5">
          <cell r="B5">
            <v>10.15</v>
          </cell>
        </row>
      </sheetData>
      <sheetData sheetId="49">
        <row r="7">
          <cell r="B7">
            <v>4.5280654339500792</v>
          </cell>
        </row>
      </sheetData>
      <sheetData sheetId="50">
        <row r="5">
          <cell r="B5">
            <v>2.71</v>
          </cell>
        </row>
      </sheetData>
      <sheetData sheetId="51">
        <row r="7">
          <cell r="B7">
            <v>0.5217875323856731</v>
          </cell>
        </row>
      </sheetData>
      <sheetData sheetId="52">
        <row r="5">
          <cell r="B5">
            <v>1.47</v>
          </cell>
        </row>
      </sheetData>
      <sheetData sheetId="53">
        <row r="7">
          <cell r="B7">
            <v>0.25755071445423761</v>
          </cell>
        </row>
      </sheetData>
      <sheetData sheetId="54">
        <row r="5">
          <cell r="B5">
            <v>1.72</v>
          </cell>
        </row>
      </sheetData>
      <sheetData sheetId="55">
        <row r="7">
          <cell r="B7">
            <v>0.16988900019955885</v>
          </cell>
        </row>
      </sheetData>
      <sheetData sheetId="56">
        <row r="5">
          <cell r="B5">
            <v>2.46</v>
          </cell>
        </row>
      </sheetData>
      <sheetData sheetId="57">
        <row r="7">
          <cell r="B7">
            <v>0.63471314528890677</v>
          </cell>
        </row>
      </sheetData>
      <sheetData sheetId="58">
        <row r="5">
          <cell r="B5">
            <v>2.27</v>
          </cell>
        </row>
      </sheetData>
      <sheetData sheetId="59">
        <row r="7">
          <cell r="B7">
            <v>0.16575930304717992</v>
          </cell>
        </row>
      </sheetData>
      <sheetData sheetId="60">
        <row r="5">
          <cell r="B5">
            <v>4.6900000000000004</v>
          </cell>
        </row>
      </sheetData>
      <sheetData sheetId="61">
        <row r="7">
          <cell r="B7">
            <v>1.4857847935576389</v>
          </cell>
        </row>
      </sheetData>
      <sheetData sheetId="62" refreshError="1"/>
      <sheetData sheetId="63">
        <row r="7">
          <cell r="D7">
            <v>12.133008353980447</v>
          </cell>
        </row>
      </sheetData>
      <sheetData sheetId="64">
        <row r="5">
          <cell r="B5">
            <v>16.04</v>
          </cell>
        </row>
      </sheetData>
      <sheetData sheetId="65">
        <row r="7">
          <cell r="C7">
            <v>4.4267392199307407</v>
          </cell>
        </row>
      </sheetData>
      <sheetData sheetId="66">
        <row r="5">
          <cell r="B5">
            <v>11.81</v>
          </cell>
        </row>
      </sheetData>
      <sheetData sheetId="67">
        <row r="7">
          <cell r="B7">
            <v>3.6317701209504891</v>
          </cell>
        </row>
      </sheetData>
      <sheetData sheetId="68">
        <row r="5">
          <cell r="B5">
            <v>8.4700000000000006</v>
          </cell>
        </row>
      </sheetData>
      <sheetData sheetId="69">
        <row r="7">
          <cell r="B7">
            <v>3.3391107704831482</v>
          </cell>
        </row>
      </sheetData>
      <sheetData sheetId="70">
        <row r="5">
          <cell r="B5">
            <v>15.02</v>
          </cell>
        </row>
      </sheetData>
      <sheetData sheetId="71">
        <row r="7">
          <cell r="C7">
            <v>5.2698622310766243</v>
          </cell>
        </row>
      </sheetData>
      <sheetData sheetId="72" refreshError="1"/>
      <sheetData sheetId="73">
        <row r="7">
          <cell r="C7">
            <v>12.489287525495355</v>
          </cell>
        </row>
      </sheetData>
      <sheetData sheetId="74">
        <row r="5">
          <cell r="B5">
            <v>6.84</v>
          </cell>
        </row>
      </sheetData>
      <sheetData sheetId="75">
        <row r="7">
          <cell r="B7">
            <v>9.2433494446513382</v>
          </cell>
        </row>
      </sheetData>
      <sheetData sheetId="76">
        <row r="5">
          <cell r="B5">
            <v>9.41</v>
          </cell>
        </row>
      </sheetData>
      <sheetData sheetId="77">
        <row r="7">
          <cell r="B7">
            <v>8.5156583066109643</v>
          </cell>
        </row>
      </sheetData>
      <sheetData sheetId="78">
        <row r="31">
          <cell r="J31">
            <v>13.039140773825658</v>
          </cell>
        </row>
      </sheetData>
      <sheetData sheetId="79">
        <row r="31">
          <cell r="J31">
            <v>5.3835265766380331</v>
          </cell>
        </row>
      </sheetData>
      <sheetData sheetId="80">
        <row r="31">
          <cell r="J31">
            <v>24.761039544818576</v>
          </cell>
        </row>
      </sheetData>
      <sheetData sheetId="81">
        <row r="31">
          <cell r="J31">
            <v>17.557336549579357</v>
          </cell>
        </row>
      </sheetData>
      <sheetData sheetId="82">
        <row r="31">
          <cell r="J31">
            <v>16.669582642685139</v>
          </cell>
        </row>
      </sheetData>
      <sheetData sheetId="83">
        <row r="31">
          <cell r="J31">
            <v>2.6739919555862408</v>
          </cell>
        </row>
      </sheetData>
      <sheetData sheetId="84">
        <row r="31">
          <cell r="J31">
            <v>3.3374206806489148</v>
          </cell>
        </row>
      </sheetData>
      <sheetData sheetId="85">
        <row r="31">
          <cell r="J31">
            <v>2.087927103902163</v>
          </cell>
        </row>
      </sheetData>
      <sheetData sheetId="86">
        <row r="31">
          <cell r="J31">
            <v>2.4420245888354368</v>
          </cell>
        </row>
      </sheetData>
      <sheetData sheetId="87">
        <row r="31">
          <cell r="J31">
            <v>2.6198431370420288</v>
          </cell>
        </row>
      </sheetData>
      <sheetData sheetId="88">
        <row r="31">
          <cell r="J31">
            <v>6.2615349214271623</v>
          </cell>
        </row>
      </sheetData>
      <sheetData sheetId="89">
        <row r="31">
          <cell r="J31">
            <v>1.2238021013626361</v>
          </cell>
        </row>
      </sheetData>
      <sheetData sheetId="90">
        <row r="31">
          <cell r="J31">
            <v>2.7406926302145087</v>
          </cell>
        </row>
      </sheetData>
      <sheetData sheetId="91">
        <row r="31">
          <cell r="J31">
            <v>5.103112844181549</v>
          </cell>
        </row>
      </sheetData>
      <sheetData sheetId="92">
        <row r="31">
          <cell r="J31">
            <v>0.63521966117295614</v>
          </cell>
        </row>
      </sheetData>
      <sheetData sheetId="93">
        <row r="31">
          <cell r="J31">
            <v>0.43457194072075844</v>
          </cell>
        </row>
      </sheetData>
      <sheetData sheetId="94">
        <row r="31">
          <cell r="J31">
            <v>2.2475369483009993</v>
          </cell>
        </row>
      </sheetData>
      <sheetData sheetId="95">
        <row r="31">
          <cell r="J31">
            <v>6.08673713224817</v>
          </cell>
        </row>
      </sheetData>
      <sheetData sheetId="96">
        <row r="31">
          <cell r="J31">
            <v>2.2773118414879208</v>
          </cell>
        </row>
      </sheetData>
      <sheetData sheetId="97">
        <row r="31">
          <cell r="J31">
            <v>1.6811708389718167</v>
          </cell>
        </row>
      </sheetData>
      <sheetData sheetId="98">
        <row r="31">
          <cell r="J31">
            <v>5.3824480757883535</v>
          </cell>
        </row>
      </sheetData>
      <sheetData sheetId="99">
        <row r="31">
          <cell r="J31">
            <v>0.32569331109661726</v>
          </cell>
        </row>
      </sheetData>
      <sheetData sheetId="100">
        <row r="31">
          <cell r="J31">
            <v>8.7728213397277793E-2</v>
          </cell>
        </row>
      </sheetData>
      <sheetData sheetId="101">
        <row r="29">
          <cell r="G29">
            <v>0.46525428795670581</v>
          </cell>
        </row>
      </sheetData>
      <sheetData sheetId="102">
        <row r="31">
          <cell r="J31">
            <v>5.0314308551079052E-2</v>
          </cell>
        </row>
      </sheetData>
      <sheetData sheetId="103">
        <row r="29">
          <cell r="G29">
            <v>0.56096373747423789</v>
          </cell>
        </row>
      </sheetData>
      <sheetData sheetId="104">
        <row r="31">
          <cell r="J31">
            <v>0.39702629056274336</v>
          </cell>
        </row>
      </sheetData>
      <sheetData sheetId="105">
        <row r="31">
          <cell r="J31">
            <v>6.398005038645968E-2</v>
          </cell>
        </row>
      </sheetData>
      <sheetData sheetId="106">
        <row r="31">
          <cell r="J31">
            <v>0.6499029504638083</v>
          </cell>
        </row>
      </sheetData>
      <sheetData sheetId="107">
        <row r="31">
          <cell r="J31">
            <v>11.510385969639515</v>
          </cell>
        </row>
      </sheetData>
      <sheetData sheetId="108">
        <row r="31">
          <cell r="J31">
            <v>4.7048173090379706</v>
          </cell>
        </row>
      </sheetData>
      <sheetData sheetId="109">
        <row r="31">
          <cell r="J31">
            <v>4.6456186170552982</v>
          </cell>
        </row>
      </sheetData>
      <sheetData sheetId="110">
        <row r="31">
          <cell r="J31">
            <v>3.8471671072234837</v>
          </cell>
        </row>
      </sheetData>
      <sheetData sheetId="111">
        <row r="31">
          <cell r="J31">
            <v>5.7989980340685587</v>
          </cell>
        </row>
      </sheetData>
      <sheetData sheetId="112">
        <row r="31">
          <cell r="J31">
            <v>13.766506907009687</v>
          </cell>
        </row>
      </sheetData>
      <sheetData sheetId="113">
        <row r="31">
          <cell r="J31">
            <v>9.5220206702301109</v>
          </cell>
        </row>
      </sheetData>
      <sheetData sheetId="114">
        <row r="31">
          <cell r="J31">
            <v>9.1976237723360637</v>
          </cell>
        </row>
      </sheetData>
      <sheetData sheetId="115">
        <row r="7">
          <cell r="D7">
            <v>65.3</v>
          </cell>
        </row>
      </sheetData>
      <sheetData sheetId="116">
        <row r="8">
          <cell r="F8">
            <v>14.206701370905233</v>
          </cell>
        </row>
      </sheetData>
      <sheetData sheetId="117">
        <row r="7">
          <cell r="A7">
            <v>0</v>
          </cell>
        </row>
      </sheetData>
      <sheetData sheetId="118">
        <row r="7">
          <cell r="A7">
            <v>0</v>
          </cell>
        </row>
      </sheetData>
      <sheetData sheetId="119" refreshError="1"/>
      <sheetData sheetId="120">
        <row r="7">
          <cell r="A7">
            <v>0</v>
          </cell>
        </row>
      </sheetData>
      <sheetData sheetId="121" refreshError="1"/>
      <sheetData sheetId="122" refreshError="1"/>
      <sheetData sheetId="123">
        <row r="7">
          <cell r="A7">
            <v>0</v>
          </cell>
        </row>
      </sheetData>
      <sheetData sheetId="124">
        <row r="7">
          <cell r="A7">
            <v>0</v>
          </cell>
        </row>
      </sheetData>
      <sheetData sheetId="125">
        <row r="7">
          <cell r="A7">
            <v>0</v>
          </cell>
        </row>
      </sheetData>
      <sheetData sheetId="126" refreshError="1"/>
      <sheetData sheetId="127" refreshError="1"/>
      <sheetData sheetId="128">
        <row r="7">
          <cell r="B7">
            <v>15.850000000000001</v>
          </cell>
        </row>
      </sheetData>
      <sheetData sheetId="129">
        <row r="7">
          <cell r="A7">
            <v>0</v>
          </cell>
        </row>
      </sheetData>
      <sheetData sheetId="130">
        <row r="34">
          <cell r="E34">
            <v>5.397523198794197E-2</v>
          </cell>
        </row>
      </sheetData>
      <sheetData sheetId="131">
        <row r="32">
          <cell r="E32">
            <v>6.0424187199255401E-2</v>
          </cell>
        </row>
      </sheetData>
      <sheetData sheetId="132">
        <row r="32">
          <cell r="E32">
            <v>4.1268111632030577E-2</v>
          </cell>
        </row>
      </sheetData>
      <sheetData sheetId="133">
        <row r="32">
          <cell r="E32">
            <v>4.860361682145823E-2</v>
          </cell>
        </row>
      </sheetData>
      <sheetData sheetId="134">
        <row r="30">
          <cell r="E30">
            <v>4.4859751715768489E-2</v>
          </cell>
        </row>
      </sheetData>
      <sheetData sheetId="135">
        <row r="40">
          <cell r="E40">
            <v>0.12835950741515031</v>
          </cell>
        </row>
      </sheetData>
      <sheetData sheetId="136">
        <row r="25">
          <cell r="E25">
            <v>8.4060518738396754E-3</v>
          </cell>
        </row>
      </sheetData>
      <sheetData sheetId="137">
        <row r="32">
          <cell r="E32">
            <v>5.0845886576008505E-2</v>
          </cell>
        </row>
      </sheetData>
      <sheetData sheetId="138">
        <row r="48">
          <cell r="E48">
            <v>0.18159088013751709</v>
          </cell>
        </row>
      </sheetData>
      <sheetData sheetId="139">
        <row r="19">
          <cell r="E19">
            <v>2.6155169548796472E-3</v>
          </cell>
        </row>
      </sheetData>
      <sheetData sheetId="140">
        <row r="20">
          <cell r="E20">
            <v>1.789349965917723E-3</v>
          </cell>
        </row>
      </sheetData>
      <sheetData sheetId="141">
        <row r="47">
          <cell r="E47">
            <v>9.545793416333552E-2</v>
          </cell>
        </row>
      </sheetData>
      <sheetData sheetId="142">
        <row r="7">
          <cell r="A7">
            <v>0</v>
          </cell>
        </row>
      </sheetData>
      <sheetData sheetId="143">
        <row r="7">
          <cell r="A7">
            <v>0</v>
          </cell>
        </row>
      </sheetData>
      <sheetData sheetId="144" refreshError="1"/>
      <sheetData sheetId="145" refreshError="1"/>
      <sheetData sheetId="146">
        <row r="7">
          <cell r="B7">
            <v>2.63</v>
          </cell>
        </row>
      </sheetData>
      <sheetData sheetId="147">
        <row r="7">
          <cell r="E7">
            <v>0.61</v>
          </cell>
        </row>
      </sheetData>
      <sheetData sheetId="148">
        <row r="7">
          <cell r="E7">
            <v>0.77</v>
          </cell>
        </row>
      </sheetData>
      <sheetData sheetId="149">
        <row r="7">
          <cell r="E7">
            <v>1.25</v>
          </cell>
        </row>
      </sheetData>
      <sheetData sheetId="150">
        <row r="7">
          <cell r="E7">
            <v>0</v>
          </cell>
        </row>
      </sheetData>
      <sheetData sheetId="151">
        <row r="7">
          <cell r="E7">
            <v>0</v>
          </cell>
        </row>
      </sheetData>
      <sheetData sheetId="152">
        <row r="7">
          <cell r="E7">
            <v>0</v>
          </cell>
        </row>
      </sheetData>
      <sheetData sheetId="153">
        <row r="7">
          <cell r="E7">
            <v>0</v>
          </cell>
        </row>
      </sheetData>
      <sheetData sheetId="154">
        <row r="7">
          <cell r="E7">
            <v>0</v>
          </cell>
        </row>
      </sheetData>
      <sheetData sheetId="155">
        <row r="7">
          <cell r="E7">
            <v>0</v>
          </cell>
        </row>
      </sheetData>
      <sheetData sheetId="156">
        <row r="7">
          <cell r="A7">
            <v>0</v>
          </cell>
        </row>
      </sheetData>
      <sheetData sheetId="157">
        <row r="7">
          <cell r="A7">
            <v>0</v>
          </cell>
        </row>
      </sheetData>
      <sheetData sheetId="158" refreshError="1"/>
      <sheetData sheetId="159" refreshError="1"/>
      <sheetData sheetId="160">
        <row r="7">
          <cell r="A7">
            <v>0</v>
          </cell>
        </row>
      </sheetData>
      <sheetData sheetId="161">
        <row r="7">
          <cell r="E7">
            <v>1.89</v>
          </cell>
        </row>
      </sheetData>
      <sheetData sheetId="162" refreshError="1"/>
      <sheetData sheetId="163">
        <row r="7">
          <cell r="E7">
            <v>1.4</v>
          </cell>
        </row>
      </sheetData>
      <sheetData sheetId="164" refreshError="1"/>
      <sheetData sheetId="165">
        <row r="7">
          <cell r="E7">
            <v>1.1200000000000001</v>
          </cell>
        </row>
      </sheetData>
      <sheetData sheetId="166" refreshError="1"/>
      <sheetData sheetId="167">
        <row r="7">
          <cell r="E7">
            <v>1.68</v>
          </cell>
        </row>
      </sheetData>
      <sheetData sheetId="168">
        <row r="7">
          <cell r="A7">
            <v>0</v>
          </cell>
        </row>
      </sheetData>
      <sheetData sheetId="169">
        <row r="7">
          <cell r="A7">
            <v>0</v>
          </cell>
        </row>
      </sheetData>
      <sheetData sheetId="170" refreshError="1"/>
      <sheetData sheetId="171" refreshError="1"/>
      <sheetData sheetId="172">
        <row r="7">
          <cell r="A7">
            <v>0</v>
          </cell>
        </row>
      </sheetData>
      <sheetData sheetId="173">
        <row r="7">
          <cell r="E7">
            <v>0</v>
          </cell>
        </row>
      </sheetData>
      <sheetData sheetId="174" refreshError="1"/>
      <sheetData sheetId="175">
        <row r="7">
          <cell r="E7">
            <v>0</v>
          </cell>
        </row>
      </sheetData>
      <sheetData sheetId="176">
        <row r="7">
          <cell r="A7">
            <v>0</v>
          </cell>
        </row>
      </sheetData>
      <sheetData sheetId="177" refreshError="1"/>
      <sheetData sheetId="178">
        <row r="48">
          <cell r="F48">
            <v>170.36</v>
          </cell>
        </row>
      </sheetData>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1"/>
      <sheetName val="İ2"/>
      <sheetName val="İ3"/>
      <sheetName val="İ4"/>
      <sheetName val="İ5"/>
      <sheetName val="İ6"/>
      <sheetName val="İ7"/>
      <sheetName val="İ8"/>
      <sheetName val="İ9-1A"/>
      <sheetName val="İ9-1B"/>
      <sheetName val="İ9-2A"/>
      <sheetName val="İ9-2B"/>
      <sheetName val="İ9-3A"/>
      <sheetName val="İ9-3B"/>
      <sheetName val="İ9-4A"/>
      <sheetName val="İ9-4B"/>
      <sheetName val="İ9-4.1A"/>
      <sheetName val="İ9-4.1B"/>
      <sheetName val="İ9-4.2A"/>
      <sheetName val="İ9-4.2B"/>
      <sheetName val="İ9-4.3A"/>
      <sheetName val="İ9-4.3B"/>
      <sheetName val="İ9-4.4A"/>
      <sheetName val="İ9-4.4B"/>
      <sheetName val="İ9-4.5A"/>
      <sheetName val="İ9-4.5B"/>
      <sheetName val="İ9-4.6A"/>
      <sheetName val="İ9-4.6B"/>
      <sheetName val="İ9-4.7A"/>
      <sheetName val="İ9-4.7B"/>
      <sheetName val="İ9-4.8A"/>
      <sheetName val="İ9-4.8B"/>
      <sheetName val="İ9-4.9A"/>
      <sheetName val="İ9-4.9B"/>
      <sheetName val="İ9-4.10A"/>
      <sheetName val="İ9-4.10B  "/>
      <sheetName val="İ9-4.11A"/>
      <sheetName val="İ9-4.11B"/>
      <sheetName val="İ9-4.12A"/>
      <sheetName val="İ9-4.12B"/>
      <sheetName val="İ9-4.13A"/>
      <sheetName val="İ9-4.13B"/>
      <sheetName val="İ9-5A"/>
      <sheetName val="İ9-5B"/>
      <sheetName val="İ9-5.1A"/>
      <sheetName val="İ9-5.1B"/>
      <sheetName val="İ9-5.2A"/>
      <sheetName val="İ9-5.2B"/>
      <sheetName val="İ9-5.3A"/>
      <sheetName val="İ9-5.3B"/>
      <sheetName val="İ9-5.4A"/>
      <sheetName val="İ9-5.4B"/>
      <sheetName val="İ9-5.5A"/>
      <sheetName val="İ9-5.5B"/>
      <sheetName val="İ9-5.6A"/>
      <sheetName val="İ9-5.6B"/>
      <sheetName val="İ9-5.7A"/>
      <sheetName val="İ9-5.7B"/>
      <sheetName val="İ9-5.8A"/>
      <sheetName val="İ9-5.8B"/>
      <sheetName val="İ9-5.9A"/>
      <sheetName val="İ9-5.9B"/>
      <sheetName val="İ9-6A"/>
      <sheetName val="İ9-6B"/>
      <sheetName val="İ9-6.1A"/>
      <sheetName val="İ9-6.1B"/>
      <sheetName val="İ9-6.2A"/>
      <sheetName val="İ9-6.2B"/>
      <sheetName val="İ9-6.3A"/>
      <sheetName val="İ9-6.3B"/>
      <sheetName val="İ9-6.4A"/>
      <sheetName val="İ9-6.4B"/>
      <sheetName val="İ9-7A"/>
      <sheetName val="İ9-7B"/>
      <sheetName val="İ9-7.1A"/>
      <sheetName val="İ9-7.1B"/>
      <sheetName val="İ9-7.2A"/>
      <sheetName val="İ9-7.2B"/>
      <sheetName val="İ10-1"/>
      <sheetName val="İ10-2"/>
      <sheetName val="İ10-4"/>
      <sheetName val="İ10-3"/>
      <sheetName val="İ10-4.1"/>
      <sheetName val="İ10-4.2"/>
      <sheetName val="İ10-4.3"/>
      <sheetName val="İ10-4.4"/>
      <sheetName val="İ10-4.5"/>
      <sheetName val="İ10-4.6"/>
      <sheetName val="İ10-4.7"/>
      <sheetName val="İ10-4.8"/>
      <sheetName val="İ10-4.9"/>
      <sheetName val="İ10-4.10"/>
      <sheetName val="İ10-4.11"/>
      <sheetName val="İ10-4.12"/>
      <sheetName val="İ10-4.13"/>
      <sheetName val="İ10-5"/>
      <sheetName val="İ10-5.1"/>
      <sheetName val="İ10-5.2"/>
      <sheetName val="İ10-5.3"/>
      <sheetName val="İ10-5.4"/>
      <sheetName val="İ10-5.5A"/>
      <sheetName val="İ10-5.5B"/>
      <sheetName val="İ10-5.6A"/>
      <sheetName val="İ10-5.6B"/>
      <sheetName val="İ10-5.7"/>
      <sheetName val="İ10-5.8"/>
      <sheetName val="İ10-5.9"/>
      <sheetName val="İ10-6"/>
      <sheetName val="İ10-6.1"/>
      <sheetName val="İ10-6.2"/>
      <sheetName val="İ10-6.3"/>
      <sheetName val="İ10-6.4"/>
      <sheetName val="İ10-7"/>
      <sheetName val="İ10-7.1"/>
      <sheetName val="İ10-7.2"/>
      <sheetName val="İ11"/>
      <sheetName val="İ12"/>
      <sheetName val="İ13-1.1"/>
      <sheetName val="İ13-1.2"/>
      <sheetName val="İ13-1.3"/>
      <sheetName val="İ13-2.1"/>
      <sheetName val="İ13-2.2"/>
      <sheetName val="İ13-2.3"/>
      <sheetName val="İ13-3"/>
      <sheetName val="İ13-4.1"/>
      <sheetName val="İ13-4.2"/>
      <sheetName val="İ13-4.3"/>
      <sheetName val="İ13-5A"/>
      <sheetName val="İ13-5B"/>
      <sheetName val="İ13-5.1"/>
      <sheetName val="İ13-5.2"/>
      <sheetName val="İ13-5.3"/>
      <sheetName val="İ13-5.4"/>
      <sheetName val="İ13-5.5"/>
      <sheetName val="İ13-5.6"/>
      <sheetName val="İ13-5.7"/>
      <sheetName val="İ13-5.8"/>
      <sheetName val="İ13-5.9"/>
      <sheetName val="İ13-5.10"/>
      <sheetName val="İ13-5.11"/>
      <sheetName val="İ13-5.12"/>
      <sheetName val="İ13-5.13"/>
      <sheetName val="İ13-6.1"/>
      <sheetName val="İ13-6.2"/>
      <sheetName val="İ13-6.3"/>
      <sheetName val="İ13-7A"/>
      <sheetName val="İ13-7B"/>
      <sheetName val="İ13-7.1"/>
      <sheetName val="İ13-7.2"/>
      <sheetName val="İ13-7.3"/>
      <sheetName val="İ13-7.4"/>
      <sheetName val="İ13-7.5"/>
      <sheetName val="İ13-7.6"/>
      <sheetName val="İ13-7.7"/>
      <sheetName val="İ13-7.8"/>
      <sheetName val="İ13.7.9"/>
      <sheetName val="İ13-8.1"/>
      <sheetName val="İ13-8.2"/>
      <sheetName val="İ13-8.3"/>
      <sheetName val="İ13-9A"/>
      <sheetName val="İ13-9B"/>
      <sheetName val="İ13-9.1A"/>
      <sheetName val="İ13-9.1B"/>
      <sheetName val="İ13-9.2A"/>
      <sheetName val="İ13-9.2B"/>
      <sheetName val="İ13-9.3A"/>
      <sheetName val="İ13-9.3B"/>
      <sheetName val="İ13-9.4"/>
      <sheetName val="İ13-10.1"/>
      <sheetName val="İ13-10.2"/>
      <sheetName val="İ13-10.3"/>
      <sheetName val="İ13-11A"/>
      <sheetName val="İ13-11B"/>
      <sheetName val="İ13-11.1A"/>
      <sheetName val="İ13-11.1B"/>
      <sheetName val="İ13-11.2"/>
      <sheetName val="İ13-12"/>
      <sheetName val="İ14"/>
      <sheetName val="Şekil 3.İ1_"/>
      <sheetName val="Şİ2-1.1"/>
      <sheetName val="Şİ2-1.2"/>
      <sheetName val="Şİ2-2.1"/>
      <sheetName val="Şİ2-2.2"/>
      <sheetName val="Şİ2-3"/>
      <sheetName val="Şİ2-4.1"/>
      <sheetName val="Şİ2-4.2"/>
      <sheetName val="Şİ2-5"/>
      <sheetName val="Şİ2-5.1"/>
      <sheetName val="Şİ2-5.2"/>
      <sheetName val="Şİ2-5.3"/>
      <sheetName val="Şİ2-5.4"/>
      <sheetName val="Şİ2-5.5"/>
      <sheetName val="Şİ2-5.6"/>
      <sheetName val="Şİ2-5.7"/>
      <sheetName val="Şİ2-5.8"/>
      <sheetName val="Şİ2-5.9"/>
      <sheetName val="Şİ2-5.10"/>
      <sheetName val="Şİ2-5.11"/>
      <sheetName val="Şİ2-5.12"/>
      <sheetName val="Şİ2-5.13"/>
      <sheetName val="Şİ2-6.1"/>
      <sheetName val="Şİ2-6.2"/>
      <sheetName val="Şİ2-7"/>
      <sheetName val="Şİ2-7.1"/>
      <sheetName val="Şİ2-7.2"/>
      <sheetName val="Şİ2-7.3"/>
      <sheetName val="Şİ2-7.4"/>
      <sheetName val="Şİ2-7.5"/>
      <sheetName val="Şİ2-7.6"/>
      <sheetName val="Şİ2-7.7"/>
      <sheetName val="Şİ2-7.8"/>
      <sheetName val="Şİ2-7.9"/>
      <sheetName val="Şİ2-8.1"/>
      <sheetName val="Şİ2-8.2"/>
      <sheetName val="Şİ2-9"/>
      <sheetName val="Şİ2-9.1"/>
      <sheetName val="Şİ2-9.2"/>
      <sheetName val="Şİ2-9.4"/>
      <sheetName val="Şİ2-9.3"/>
      <sheetName val="Şİ2-10.1"/>
      <sheetName val="Şİ2-10.2"/>
      <sheetName val="Şİ2-11"/>
      <sheetName val="Şİ2-11.1"/>
      <sheetName val="Şİ2-11.2"/>
      <sheetName val="Şİ2-12"/>
      <sheetName val="Ş3.i3-1"/>
      <sheetName val="Ş3.i3-2"/>
      <sheetName val="Ş3.i3-3"/>
      <sheetName val="Ş3.i3-4"/>
      <sheetName val="Ş3.i3-5"/>
      <sheetName val="Ş3.i3-6"/>
    </sheetNames>
    <sheetDataSet>
      <sheetData sheetId="0">
        <row r="45">
          <cell r="C45" t="str">
            <v>İ - 1</v>
          </cell>
        </row>
      </sheetData>
      <sheetData sheetId="1">
        <row r="10">
          <cell r="D10">
            <v>28.752896773828326</v>
          </cell>
        </row>
      </sheetData>
      <sheetData sheetId="2" refreshError="1"/>
      <sheetData sheetId="3" refreshError="1"/>
      <sheetData sheetId="4" refreshError="1"/>
      <sheetData sheetId="5" refreshError="1"/>
      <sheetData sheetId="6" refreshError="1"/>
      <sheetData sheetId="7" refreshError="1"/>
      <sheetData sheetId="8">
        <row r="5">
          <cell r="B5">
            <v>23.73</v>
          </cell>
        </row>
      </sheetData>
      <sheetData sheetId="9">
        <row r="6">
          <cell r="D6">
            <v>14.206701370905233</v>
          </cell>
        </row>
      </sheetData>
      <sheetData sheetId="10">
        <row r="5">
          <cell r="B5">
            <v>14.353999999999999</v>
          </cell>
        </row>
      </sheetData>
      <sheetData sheetId="11">
        <row r="6">
          <cell r="C6">
            <v>5.176450965967434</v>
          </cell>
        </row>
      </sheetData>
      <sheetData sheetId="12">
        <row r="5">
          <cell r="B5">
            <v>28.12</v>
          </cell>
        </row>
      </sheetData>
      <sheetData sheetId="13">
        <row r="6">
          <cell r="F6">
            <v>21.640206274886587</v>
          </cell>
        </row>
      </sheetData>
      <sheetData sheetId="14" refreshError="1"/>
      <sheetData sheetId="15">
        <row r="7">
          <cell r="F7">
            <v>31.243924309315027</v>
          </cell>
        </row>
      </sheetData>
      <sheetData sheetId="16">
        <row r="5">
          <cell r="B5">
            <v>25.95</v>
          </cell>
        </row>
      </sheetData>
      <sheetData sheetId="17">
        <row r="6">
          <cell r="D6">
            <v>17.203668294421856</v>
          </cell>
        </row>
      </sheetData>
      <sheetData sheetId="18">
        <row r="5">
          <cell r="B5">
            <v>11.9</v>
          </cell>
        </row>
      </sheetData>
      <sheetData sheetId="19">
        <row r="6">
          <cell r="B6">
            <v>2.4202479785455413</v>
          </cell>
        </row>
      </sheetData>
      <sheetData sheetId="20">
        <row r="5">
          <cell r="B5">
            <v>6.28</v>
          </cell>
        </row>
      </sheetData>
      <sheetData sheetId="21">
        <row r="6">
          <cell r="B6">
            <v>3.07218382601424</v>
          </cell>
        </row>
        <row r="7">
          <cell r="B7">
            <v>6.6349088851570936</v>
          </cell>
        </row>
        <row r="8">
          <cell r="B8">
            <v>9.6686128200125179</v>
          </cell>
        </row>
        <row r="9">
          <cell r="B9">
            <v>14.097663290432866</v>
          </cell>
        </row>
        <row r="10">
          <cell r="B10">
            <v>17.736267355895937</v>
          </cell>
        </row>
        <row r="11">
          <cell r="B11">
            <v>21.596187960323299</v>
          </cell>
        </row>
      </sheetData>
      <sheetData sheetId="22">
        <row r="5">
          <cell r="B5">
            <v>8.66</v>
          </cell>
        </row>
      </sheetData>
      <sheetData sheetId="23">
        <row r="7">
          <cell r="B7">
            <v>1.9408953677873251</v>
          </cell>
        </row>
      </sheetData>
      <sheetData sheetId="24">
        <row r="5">
          <cell r="B5">
            <v>8.83</v>
          </cell>
        </row>
      </sheetData>
      <sheetData sheetId="25">
        <row r="7">
          <cell r="B7">
            <v>2.2780469747660241</v>
          </cell>
        </row>
      </sheetData>
      <sheetData sheetId="26">
        <row r="5">
          <cell r="B5">
            <v>6.97</v>
          </cell>
        </row>
      </sheetData>
      <sheetData sheetId="27">
        <row r="7">
          <cell r="B7">
            <v>2.5043333688744278</v>
          </cell>
        </row>
      </sheetData>
      <sheetData sheetId="28">
        <row r="5">
          <cell r="B5">
            <v>11.96</v>
          </cell>
        </row>
      </sheetData>
      <sheetData sheetId="29">
        <row r="7">
          <cell r="B7">
            <v>5.1083236179994014</v>
          </cell>
        </row>
      </sheetData>
      <sheetData sheetId="30">
        <row r="5">
          <cell r="B5">
            <v>4.72</v>
          </cell>
        </row>
      </sheetData>
      <sheetData sheetId="31">
        <row r="6">
          <cell r="B6">
            <v>1.4601134273562524</v>
          </cell>
        </row>
      </sheetData>
      <sheetData sheetId="32">
        <row r="5">
          <cell r="B5">
            <v>8.42</v>
          </cell>
        </row>
      </sheetData>
      <sheetData sheetId="33">
        <row r="6">
          <cell r="B6">
            <v>2.5188926358932635</v>
          </cell>
        </row>
      </sheetData>
      <sheetData sheetId="34">
        <row r="5">
          <cell r="B5">
            <v>16.690000000000001</v>
          </cell>
        </row>
      </sheetData>
      <sheetData sheetId="35">
        <row r="7">
          <cell r="C7">
            <v>4.6932043280207294</v>
          </cell>
        </row>
      </sheetData>
      <sheetData sheetId="36">
        <row r="5">
          <cell r="B5">
            <v>1.93</v>
          </cell>
        </row>
      </sheetData>
      <sheetData sheetId="37">
        <row r="7">
          <cell r="B7">
            <v>1.0165330062143976</v>
          </cell>
        </row>
      </sheetData>
      <sheetData sheetId="38">
        <row r="5">
          <cell r="B5">
            <v>2.4049999999999998</v>
          </cell>
        </row>
      </sheetData>
      <sheetData sheetId="39">
        <row r="7">
          <cell r="B7">
            <v>0.70575156736700706</v>
          </cell>
        </row>
      </sheetData>
      <sheetData sheetId="40">
        <row r="5">
          <cell r="B5">
            <v>9.0299999999999994</v>
          </cell>
        </row>
      </sheetData>
      <sheetData sheetId="41">
        <row r="7">
          <cell r="C7">
            <v>5.1812439629660147</v>
          </cell>
        </row>
      </sheetData>
      <sheetData sheetId="42">
        <row r="5">
          <cell r="D5">
            <v>1.8769139251027347E-3</v>
          </cell>
        </row>
      </sheetData>
      <sheetData sheetId="43">
        <row r="7">
          <cell r="C7">
            <v>6.6480596237905498</v>
          </cell>
        </row>
      </sheetData>
      <sheetData sheetId="44">
        <row r="5">
          <cell r="B5">
            <v>5.32</v>
          </cell>
        </row>
      </sheetData>
      <sheetData sheetId="45">
        <row r="7">
          <cell r="B7">
            <v>2.3439157166155664</v>
          </cell>
        </row>
      </sheetData>
      <sheetData sheetId="46">
        <row r="5">
          <cell r="B5">
            <v>5.96</v>
          </cell>
        </row>
      </sheetData>
      <sheetData sheetId="47">
        <row r="7">
          <cell r="B7">
            <v>1.5814787421654821</v>
          </cell>
        </row>
      </sheetData>
      <sheetData sheetId="48">
        <row r="5">
          <cell r="B5">
            <v>10.15</v>
          </cell>
        </row>
      </sheetData>
      <sheetData sheetId="49">
        <row r="7">
          <cell r="B7">
            <v>4.5280654339500792</v>
          </cell>
        </row>
      </sheetData>
      <sheetData sheetId="50">
        <row r="5">
          <cell r="B5">
            <v>2.71</v>
          </cell>
        </row>
      </sheetData>
      <sheetData sheetId="51">
        <row r="7">
          <cell r="B7">
            <v>0.5217875323856731</v>
          </cell>
        </row>
      </sheetData>
      <sheetData sheetId="52">
        <row r="5">
          <cell r="B5">
            <v>1.47</v>
          </cell>
        </row>
      </sheetData>
      <sheetData sheetId="53">
        <row r="7">
          <cell r="B7">
            <v>0.25755071445423761</v>
          </cell>
        </row>
      </sheetData>
      <sheetData sheetId="54">
        <row r="5">
          <cell r="B5">
            <v>1.72</v>
          </cell>
        </row>
      </sheetData>
      <sheetData sheetId="55">
        <row r="7">
          <cell r="B7">
            <v>0.16988900019955885</v>
          </cell>
        </row>
      </sheetData>
      <sheetData sheetId="56">
        <row r="5">
          <cell r="B5">
            <v>2.46</v>
          </cell>
        </row>
      </sheetData>
      <sheetData sheetId="57">
        <row r="7">
          <cell r="B7">
            <v>0.63471314528890677</v>
          </cell>
        </row>
      </sheetData>
      <sheetData sheetId="58">
        <row r="5">
          <cell r="B5">
            <v>2.27</v>
          </cell>
        </row>
      </sheetData>
      <sheetData sheetId="59">
        <row r="7">
          <cell r="B7">
            <v>0.16575930304717992</v>
          </cell>
        </row>
      </sheetData>
      <sheetData sheetId="60">
        <row r="5">
          <cell r="B5">
            <v>4.6900000000000004</v>
          </cell>
        </row>
      </sheetData>
      <sheetData sheetId="61">
        <row r="7">
          <cell r="B7">
            <v>1.4857847935576389</v>
          </cell>
        </row>
      </sheetData>
      <sheetData sheetId="62" refreshError="1"/>
      <sheetData sheetId="63">
        <row r="7">
          <cell r="D7">
            <v>12.133008353980447</v>
          </cell>
        </row>
      </sheetData>
      <sheetData sheetId="64">
        <row r="5">
          <cell r="B5">
            <v>16.04</v>
          </cell>
        </row>
      </sheetData>
      <sheetData sheetId="65">
        <row r="7">
          <cell r="C7">
            <v>4.4267392199307407</v>
          </cell>
        </row>
      </sheetData>
      <sheetData sheetId="66">
        <row r="5">
          <cell r="B5">
            <v>11.81</v>
          </cell>
        </row>
      </sheetData>
      <sheetData sheetId="67">
        <row r="7">
          <cell r="B7">
            <v>3.6317701209504891</v>
          </cell>
        </row>
      </sheetData>
      <sheetData sheetId="68">
        <row r="5">
          <cell r="B5">
            <v>8.4700000000000006</v>
          </cell>
        </row>
      </sheetData>
      <sheetData sheetId="69">
        <row r="7">
          <cell r="B7">
            <v>3.3391107704831482</v>
          </cell>
        </row>
      </sheetData>
      <sheetData sheetId="70">
        <row r="5">
          <cell r="B5">
            <v>15.02</v>
          </cell>
        </row>
      </sheetData>
      <sheetData sheetId="71">
        <row r="7">
          <cell r="C7">
            <v>5.2698622310766243</v>
          </cell>
        </row>
      </sheetData>
      <sheetData sheetId="72" refreshError="1"/>
      <sheetData sheetId="73">
        <row r="7">
          <cell r="C7">
            <v>12.489287525495355</v>
          </cell>
        </row>
      </sheetData>
      <sheetData sheetId="74">
        <row r="5">
          <cell r="B5">
            <v>6.84</v>
          </cell>
        </row>
      </sheetData>
      <sheetData sheetId="75">
        <row r="7">
          <cell r="B7">
            <v>9.2433494446513382</v>
          </cell>
        </row>
      </sheetData>
      <sheetData sheetId="76">
        <row r="5">
          <cell r="B5">
            <v>9.41</v>
          </cell>
        </row>
      </sheetData>
      <sheetData sheetId="77">
        <row r="7">
          <cell r="B7">
            <v>8.5156583066109643</v>
          </cell>
        </row>
      </sheetData>
      <sheetData sheetId="78">
        <row r="31">
          <cell r="J31">
            <v>13.039140773825658</v>
          </cell>
        </row>
      </sheetData>
      <sheetData sheetId="79">
        <row r="31">
          <cell r="J31">
            <v>5.3835265766380331</v>
          </cell>
        </row>
      </sheetData>
      <sheetData sheetId="80">
        <row r="31">
          <cell r="J31">
            <v>24.761039544818576</v>
          </cell>
        </row>
      </sheetData>
      <sheetData sheetId="81">
        <row r="31">
          <cell r="J31">
            <v>17.557336549579357</v>
          </cell>
        </row>
      </sheetData>
      <sheetData sheetId="82">
        <row r="31">
          <cell r="J31">
            <v>16.669582642685139</v>
          </cell>
        </row>
      </sheetData>
      <sheetData sheetId="83">
        <row r="31">
          <cell r="J31">
            <v>2.6739919555862408</v>
          </cell>
        </row>
      </sheetData>
      <sheetData sheetId="84">
        <row r="31">
          <cell r="J31">
            <v>3.3374206806489148</v>
          </cell>
        </row>
      </sheetData>
      <sheetData sheetId="85">
        <row r="31">
          <cell r="J31">
            <v>2.087927103902163</v>
          </cell>
        </row>
      </sheetData>
      <sheetData sheetId="86">
        <row r="31">
          <cell r="J31">
            <v>2.4420245888354368</v>
          </cell>
        </row>
      </sheetData>
      <sheetData sheetId="87">
        <row r="31">
          <cell r="J31">
            <v>2.6198431370420288</v>
          </cell>
        </row>
      </sheetData>
      <sheetData sheetId="88">
        <row r="31">
          <cell r="J31">
            <v>6.2615349214271623</v>
          </cell>
        </row>
      </sheetData>
      <sheetData sheetId="89">
        <row r="31">
          <cell r="J31">
            <v>1.2238021013626361</v>
          </cell>
        </row>
      </sheetData>
      <sheetData sheetId="90">
        <row r="31">
          <cell r="J31">
            <v>2.7406926302145087</v>
          </cell>
        </row>
      </sheetData>
      <sheetData sheetId="91">
        <row r="31">
          <cell r="J31">
            <v>5.103112844181549</v>
          </cell>
        </row>
      </sheetData>
      <sheetData sheetId="92">
        <row r="31">
          <cell r="J31">
            <v>0.63521966117295614</v>
          </cell>
        </row>
      </sheetData>
      <sheetData sheetId="93">
        <row r="31">
          <cell r="J31">
            <v>0.43457194072075844</v>
          </cell>
        </row>
      </sheetData>
      <sheetData sheetId="94">
        <row r="31">
          <cell r="J31">
            <v>2.2475369483009993</v>
          </cell>
        </row>
      </sheetData>
      <sheetData sheetId="95">
        <row r="31">
          <cell r="J31">
            <v>6.08673713224817</v>
          </cell>
        </row>
      </sheetData>
      <sheetData sheetId="96">
        <row r="31">
          <cell r="J31">
            <v>2.2773118414879208</v>
          </cell>
        </row>
      </sheetData>
      <sheetData sheetId="97">
        <row r="31">
          <cell r="J31">
            <v>1.6811708389718167</v>
          </cell>
        </row>
      </sheetData>
      <sheetData sheetId="98">
        <row r="31">
          <cell r="J31">
            <v>5.3824480757883535</v>
          </cell>
        </row>
      </sheetData>
      <sheetData sheetId="99">
        <row r="31">
          <cell r="J31">
            <v>0.32569331109661726</v>
          </cell>
        </row>
      </sheetData>
      <sheetData sheetId="100">
        <row r="31">
          <cell r="J31">
            <v>8.7728213397277793E-2</v>
          </cell>
        </row>
      </sheetData>
      <sheetData sheetId="101">
        <row r="29">
          <cell r="G29">
            <v>0.46525428795670581</v>
          </cell>
        </row>
      </sheetData>
      <sheetData sheetId="102">
        <row r="31">
          <cell r="J31">
            <v>5.0314308551079052E-2</v>
          </cell>
        </row>
      </sheetData>
      <sheetData sheetId="103">
        <row r="29">
          <cell r="G29">
            <v>0.56096373747423789</v>
          </cell>
        </row>
      </sheetData>
      <sheetData sheetId="104">
        <row r="31">
          <cell r="J31">
            <v>0.39702629056274336</v>
          </cell>
        </row>
      </sheetData>
      <sheetData sheetId="105">
        <row r="31">
          <cell r="J31">
            <v>6.398005038645968E-2</v>
          </cell>
        </row>
      </sheetData>
      <sheetData sheetId="106">
        <row r="31">
          <cell r="J31">
            <v>0.6499029504638083</v>
          </cell>
        </row>
      </sheetData>
      <sheetData sheetId="107">
        <row r="31">
          <cell r="J31">
            <v>11.510385969639515</v>
          </cell>
        </row>
      </sheetData>
      <sheetData sheetId="108">
        <row r="31">
          <cell r="J31">
            <v>4.7048173090379706</v>
          </cell>
        </row>
      </sheetData>
      <sheetData sheetId="109">
        <row r="31">
          <cell r="J31">
            <v>4.6456186170552982</v>
          </cell>
        </row>
      </sheetData>
      <sheetData sheetId="110">
        <row r="31">
          <cell r="J31">
            <v>3.8471671072234837</v>
          </cell>
        </row>
      </sheetData>
      <sheetData sheetId="111">
        <row r="31">
          <cell r="J31">
            <v>5.7989980340685587</v>
          </cell>
        </row>
      </sheetData>
      <sheetData sheetId="112">
        <row r="31">
          <cell r="J31">
            <v>13.766506907009687</v>
          </cell>
        </row>
      </sheetData>
      <sheetData sheetId="113">
        <row r="31">
          <cell r="J31">
            <v>9.5220206702301109</v>
          </cell>
        </row>
      </sheetData>
      <sheetData sheetId="114">
        <row r="31">
          <cell r="J31">
            <v>9.1976237723360637</v>
          </cell>
        </row>
      </sheetData>
      <sheetData sheetId="115">
        <row r="7">
          <cell r="D7">
            <v>65.3</v>
          </cell>
        </row>
      </sheetData>
      <sheetData sheetId="116">
        <row r="8">
          <cell r="F8">
            <v>14.206701370905233</v>
          </cell>
        </row>
      </sheetData>
      <sheetData sheetId="117">
        <row r="7">
          <cell r="A7">
            <v>0</v>
          </cell>
        </row>
      </sheetData>
      <sheetData sheetId="118">
        <row r="7">
          <cell r="A7">
            <v>0</v>
          </cell>
        </row>
      </sheetData>
      <sheetData sheetId="119" refreshError="1"/>
      <sheetData sheetId="120">
        <row r="7">
          <cell r="A7">
            <v>0</v>
          </cell>
        </row>
      </sheetData>
      <sheetData sheetId="121" refreshError="1"/>
      <sheetData sheetId="122" refreshError="1"/>
      <sheetData sheetId="123">
        <row r="7">
          <cell r="A7">
            <v>0</v>
          </cell>
        </row>
      </sheetData>
      <sheetData sheetId="124">
        <row r="7">
          <cell r="A7">
            <v>0</v>
          </cell>
        </row>
      </sheetData>
      <sheetData sheetId="125">
        <row r="7">
          <cell r="A7">
            <v>0</v>
          </cell>
        </row>
      </sheetData>
      <sheetData sheetId="126" refreshError="1"/>
      <sheetData sheetId="127" refreshError="1"/>
      <sheetData sheetId="128">
        <row r="7">
          <cell r="B7">
            <v>15.850000000000001</v>
          </cell>
        </row>
      </sheetData>
      <sheetData sheetId="129">
        <row r="7">
          <cell r="A7">
            <v>0</v>
          </cell>
        </row>
      </sheetData>
      <sheetData sheetId="130">
        <row r="34">
          <cell r="E34">
            <v>5.397523198794197E-2</v>
          </cell>
        </row>
      </sheetData>
      <sheetData sheetId="131">
        <row r="32">
          <cell r="E32">
            <v>6.0424187199255401E-2</v>
          </cell>
        </row>
      </sheetData>
      <sheetData sheetId="132">
        <row r="32">
          <cell r="E32">
            <v>4.1268111632030577E-2</v>
          </cell>
        </row>
      </sheetData>
      <sheetData sheetId="133">
        <row r="32">
          <cell r="E32">
            <v>4.860361682145823E-2</v>
          </cell>
        </row>
      </sheetData>
      <sheetData sheetId="134">
        <row r="30">
          <cell r="E30">
            <v>4.4859751715768489E-2</v>
          </cell>
        </row>
      </sheetData>
      <sheetData sheetId="135">
        <row r="40">
          <cell r="E40">
            <v>0.12835950741515031</v>
          </cell>
        </row>
      </sheetData>
      <sheetData sheetId="136">
        <row r="25">
          <cell r="E25">
            <v>8.4060518738396754E-3</v>
          </cell>
        </row>
      </sheetData>
      <sheetData sheetId="137">
        <row r="32">
          <cell r="E32">
            <v>5.0845886576008505E-2</v>
          </cell>
        </row>
      </sheetData>
      <sheetData sheetId="138">
        <row r="48">
          <cell r="E48">
            <v>0.18159088013751709</v>
          </cell>
        </row>
      </sheetData>
      <sheetData sheetId="139">
        <row r="19">
          <cell r="E19">
            <v>2.6155169548796472E-3</v>
          </cell>
        </row>
      </sheetData>
      <sheetData sheetId="140">
        <row r="20">
          <cell r="E20">
            <v>1.789349965917723E-3</v>
          </cell>
        </row>
      </sheetData>
      <sheetData sheetId="141">
        <row r="47">
          <cell r="E47">
            <v>9.545793416333552E-2</v>
          </cell>
        </row>
      </sheetData>
      <sheetData sheetId="142">
        <row r="7">
          <cell r="A7">
            <v>0</v>
          </cell>
        </row>
      </sheetData>
      <sheetData sheetId="143">
        <row r="7">
          <cell r="A7">
            <v>0</v>
          </cell>
        </row>
      </sheetData>
      <sheetData sheetId="144" refreshError="1"/>
      <sheetData sheetId="145" refreshError="1"/>
      <sheetData sheetId="146">
        <row r="7">
          <cell r="B7">
            <v>2.63</v>
          </cell>
        </row>
      </sheetData>
      <sheetData sheetId="147">
        <row r="7">
          <cell r="E7">
            <v>0.61</v>
          </cell>
        </row>
      </sheetData>
      <sheetData sheetId="148">
        <row r="7">
          <cell r="E7">
            <v>0.77</v>
          </cell>
        </row>
      </sheetData>
      <sheetData sheetId="149">
        <row r="7">
          <cell r="E7">
            <v>1.25</v>
          </cell>
        </row>
      </sheetData>
      <sheetData sheetId="150">
        <row r="7">
          <cell r="E7">
            <v>0</v>
          </cell>
        </row>
      </sheetData>
      <sheetData sheetId="151">
        <row r="7">
          <cell r="E7">
            <v>0</v>
          </cell>
        </row>
      </sheetData>
      <sheetData sheetId="152">
        <row r="7">
          <cell r="E7">
            <v>0</v>
          </cell>
        </row>
      </sheetData>
      <sheetData sheetId="153">
        <row r="7">
          <cell r="E7">
            <v>0</v>
          </cell>
        </row>
      </sheetData>
      <sheetData sheetId="154">
        <row r="7">
          <cell r="E7">
            <v>0</v>
          </cell>
        </row>
      </sheetData>
      <sheetData sheetId="155">
        <row r="7">
          <cell r="E7">
            <v>0</v>
          </cell>
        </row>
      </sheetData>
      <sheetData sheetId="156">
        <row r="7">
          <cell r="A7">
            <v>0</v>
          </cell>
        </row>
      </sheetData>
      <sheetData sheetId="157">
        <row r="7">
          <cell r="A7">
            <v>0</v>
          </cell>
        </row>
      </sheetData>
      <sheetData sheetId="158" refreshError="1"/>
      <sheetData sheetId="159" refreshError="1"/>
      <sheetData sheetId="160">
        <row r="7">
          <cell r="A7">
            <v>0</v>
          </cell>
        </row>
      </sheetData>
      <sheetData sheetId="161">
        <row r="7">
          <cell r="E7">
            <v>1.89</v>
          </cell>
        </row>
      </sheetData>
      <sheetData sheetId="162" refreshError="1"/>
      <sheetData sheetId="163">
        <row r="7">
          <cell r="E7">
            <v>1.4</v>
          </cell>
        </row>
      </sheetData>
      <sheetData sheetId="164" refreshError="1"/>
      <sheetData sheetId="165">
        <row r="7">
          <cell r="E7">
            <v>1.1200000000000001</v>
          </cell>
        </row>
      </sheetData>
      <sheetData sheetId="166" refreshError="1"/>
      <sheetData sheetId="167">
        <row r="7">
          <cell r="E7">
            <v>1.68</v>
          </cell>
        </row>
      </sheetData>
      <sheetData sheetId="168">
        <row r="7">
          <cell r="A7">
            <v>0</v>
          </cell>
        </row>
      </sheetData>
      <sheetData sheetId="169">
        <row r="7">
          <cell r="A7">
            <v>0</v>
          </cell>
        </row>
      </sheetData>
      <sheetData sheetId="170" refreshError="1"/>
      <sheetData sheetId="171" refreshError="1"/>
      <sheetData sheetId="172">
        <row r="7">
          <cell r="A7">
            <v>0</v>
          </cell>
        </row>
      </sheetData>
      <sheetData sheetId="173">
        <row r="7">
          <cell r="E7">
            <v>0</v>
          </cell>
        </row>
      </sheetData>
      <sheetData sheetId="174" refreshError="1"/>
      <sheetData sheetId="175">
        <row r="7">
          <cell r="E7">
            <v>0</v>
          </cell>
        </row>
      </sheetData>
      <sheetData sheetId="176">
        <row r="7">
          <cell r="A7">
            <v>0</v>
          </cell>
        </row>
      </sheetData>
      <sheetData sheetId="177" refreshError="1"/>
      <sheetData sheetId="178">
        <row r="48">
          <cell r="F48">
            <v>170.36</v>
          </cell>
        </row>
      </sheetData>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LAR"/>
      <sheetName val="1-A"/>
      <sheetName val="1-B"/>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71."/>
      <sheetName val="72"/>
      <sheetName val="73"/>
      <sheetName val="74"/>
      <sheetName val="75"/>
      <sheetName val="76"/>
      <sheetName val="77"/>
      <sheetName val="78."/>
      <sheetName val="79."/>
      <sheetName val="80."/>
      <sheetName val="81."/>
      <sheetName val="82."/>
      <sheetName val="83."/>
      <sheetName val="84"/>
      <sheetName val="85"/>
      <sheetName val="86"/>
      <sheetName val="87"/>
      <sheetName val="88"/>
      <sheetName val="89"/>
      <sheetName val="90"/>
      <sheetName val="91"/>
      <sheetName val="92"/>
      <sheetName val="93"/>
      <sheetName val="94"/>
      <sheetName val="95"/>
      <sheetName val="96"/>
      <sheetName val="97"/>
      <sheetName val="98"/>
      <sheetName val="99"/>
      <sheetName val="100"/>
      <sheetName val="101"/>
      <sheetName val="102"/>
      <sheetName val="103"/>
      <sheetName val="104"/>
      <sheetName val="105"/>
      <sheetName val="106"/>
      <sheetName val="107"/>
      <sheetName val="108_"/>
      <sheetName val="109_"/>
      <sheetName val="110_"/>
      <sheetName val="111_"/>
      <sheetName val="124"/>
      <sheetName val="125"/>
      <sheetName val="126"/>
      <sheetName val="127"/>
      <sheetName val="128"/>
      <sheetName val="112.baz"/>
      <sheetName val="129-1A"/>
      <sheetName val="129-1B"/>
      <sheetName val="129-2A"/>
      <sheetName val="129-2B"/>
      <sheetName val="129-3A"/>
      <sheetName val="129-3B"/>
      <sheetName val="129-4A"/>
      <sheetName val="129-4B"/>
      <sheetName val="129-5A"/>
      <sheetName val="129-5B"/>
      <sheetName val="129-6A"/>
      <sheetName val="129-6B"/>
      <sheetName val="129-7A"/>
      <sheetName val="129-7B"/>
      <sheetName val="129-8A"/>
      <sheetName val="129-8B"/>
      <sheetName val="129-9A"/>
      <sheetName val="129-9B"/>
      <sheetName val="129-10A"/>
      <sheetName val="129-10B"/>
      <sheetName val="129-11A"/>
      <sheetName val="129-11B"/>
      <sheetName val="129-12A"/>
      <sheetName val="129-12B"/>
      <sheetName val="129-13A"/>
      <sheetName val="129-13B"/>
      <sheetName val="129-14A"/>
      <sheetName val="129-14B"/>
      <sheetName val="129-15A"/>
      <sheetName val="129-15B"/>
      <sheetName val="129-16A"/>
      <sheetName val="129-16B"/>
      <sheetName val="129-17A"/>
      <sheetName val="129-17B"/>
      <sheetName val="129-18A"/>
      <sheetName val="129-18B"/>
      <sheetName val="129-19A"/>
      <sheetName val="129-19B"/>
      <sheetName val="129-20A"/>
      <sheetName val="129-20B"/>
      <sheetName val="130-1"/>
      <sheetName val="130-2"/>
      <sheetName val="130-3"/>
      <sheetName val="130-4"/>
      <sheetName val="130-5"/>
      <sheetName val="130-6"/>
      <sheetName val="130-7"/>
      <sheetName val="130-8"/>
      <sheetName val="130-9"/>
      <sheetName val="130-10"/>
      <sheetName val="130-11"/>
      <sheetName val="130-12"/>
      <sheetName val="130-13"/>
      <sheetName val="130-14"/>
      <sheetName val="130-15"/>
      <sheetName val="130-16"/>
      <sheetName val="130-17"/>
      <sheetName val="130-18"/>
      <sheetName val="130-19"/>
      <sheetName val="130-20"/>
      <sheetName val="131"/>
      <sheetName val="Şekil 3.11"/>
      <sheetName val="T 3.161"/>
      <sheetName val="132-1A"/>
      <sheetName val="132-1B"/>
      <sheetName val="132-1C"/>
      <sheetName val="132-2A"/>
      <sheetName val="132-2B"/>
      <sheetName val="132_2C"/>
      <sheetName val="132-3A"/>
      <sheetName val="132-3B"/>
      <sheetName val="132-3C"/>
      <sheetName val="132-4"/>
      <sheetName val="132-5A"/>
      <sheetName val="132-5B"/>
      <sheetName val="132-6A"/>
      <sheetName val="132-6B"/>
      <sheetName val="132-7"/>
      <sheetName val="132-8A"/>
      <sheetName val="132-8B"/>
      <sheetName val="132-9A"/>
      <sheetName val="132-9B.1"/>
      <sheetName val="132-9B.2"/>
      <sheetName val="132-9C"/>
      <sheetName val="132-10"/>
      <sheetName val="132-11A"/>
      <sheetName val="132-11B"/>
      <sheetName val="132-12"/>
      <sheetName val="132-13A"/>
      <sheetName val="132-13B"/>
      <sheetName val="132-14A"/>
      <sheetName val="132-14B"/>
      <sheetName val="132-14C"/>
      <sheetName val="132-15A"/>
      <sheetName val="132-15B"/>
      <sheetName val="132-15.1A"/>
      <sheetName val="132-15.1B"/>
      <sheetName val="132-15.2A"/>
      <sheetName val="132-15.2B"/>
      <sheetName val="132-15.3A"/>
      <sheetName val="132-15.3B"/>
      <sheetName val="132-15.4A"/>
      <sheetName val="132-15.4B"/>
      <sheetName val="132-15.5"/>
      <sheetName val="132-16A"/>
      <sheetName val="132-16B"/>
      <sheetName val="132-17A"/>
      <sheetName val="132-17B"/>
      <sheetName val="132-17.1A"/>
      <sheetName val="132-17.1B"/>
      <sheetName val="132-17.2A"/>
      <sheetName val="132-17.2B"/>
      <sheetName val="132-17.3"/>
      <sheetName val="132-18"/>
      <sheetName val="107.3"/>
      <sheetName val="107.4"/>
      <sheetName val="107.5"/>
      <sheetName val="107.6"/>
      <sheetName val="107.7"/>
      <sheetName val="111.3"/>
      <sheetName val="111.4"/>
      <sheetName val="111.5"/>
      <sheetName val="111.6"/>
      <sheetName val="111.7"/>
      <sheetName val="267."/>
      <sheetName val="OZ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ow r="6">
          <cell r="B6">
            <v>3.9773736955176813</v>
          </cell>
        </row>
      </sheetData>
      <sheetData sheetId="121"/>
      <sheetData sheetId="122">
        <row r="6">
          <cell r="B6">
            <v>2.4625952435977667</v>
          </cell>
        </row>
        <row r="7">
          <cell r="B7">
            <v>5.8044009615512451</v>
          </cell>
        </row>
        <row r="8">
          <cell r="B8">
            <v>8.8819357565390451</v>
          </cell>
        </row>
        <row r="9">
          <cell r="B9">
            <v>13.763571644569428</v>
          </cell>
        </row>
        <row r="10">
          <cell r="B10">
            <v>18.132183560943897</v>
          </cell>
        </row>
        <row r="11">
          <cell r="B11">
            <v>23.123580906451984</v>
          </cell>
        </row>
        <row r="12">
          <cell r="B12">
            <v>32.978799350191736</v>
          </cell>
        </row>
        <row r="13">
          <cell r="B13">
            <v>37.222809604865795</v>
          </cell>
        </row>
      </sheetData>
      <sheetData sheetId="123"/>
      <sheetData sheetId="124">
        <row r="6">
          <cell r="C6">
            <v>9.8214508684331303</v>
          </cell>
        </row>
      </sheetData>
      <sheetData sheetId="125"/>
      <sheetData sheetId="126">
        <row r="6">
          <cell r="D6">
            <v>8.6761983949032331</v>
          </cell>
        </row>
      </sheetData>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LAR"/>
      <sheetName val="1-A"/>
      <sheetName val="1-B"/>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71."/>
      <sheetName val="72"/>
      <sheetName val="73"/>
      <sheetName val="74"/>
      <sheetName val="75"/>
      <sheetName val="76"/>
      <sheetName val="77"/>
      <sheetName val="78."/>
      <sheetName val="79."/>
      <sheetName val="80."/>
      <sheetName val="81."/>
      <sheetName val="82."/>
      <sheetName val="83."/>
      <sheetName val="84"/>
      <sheetName val="85"/>
      <sheetName val="86"/>
      <sheetName val="87"/>
      <sheetName val="88"/>
      <sheetName val="89"/>
      <sheetName val="90"/>
      <sheetName val="91"/>
      <sheetName val="92"/>
      <sheetName val="93"/>
      <sheetName val="94"/>
      <sheetName val="95"/>
      <sheetName val="96"/>
      <sheetName val="97"/>
      <sheetName val="98"/>
      <sheetName val="99"/>
      <sheetName val="100"/>
      <sheetName val="101"/>
      <sheetName val="102"/>
      <sheetName val="103"/>
      <sheetName val="104"/>
      <sheetName val="105"/>
      <sheetName val="106"/>
      <sheetName val="107"/>
      <sheetName val="108_"/>
      <sheetName val="109_"/>
      <sheetName val="110_"/>
      <sheetName val="111_"/>
      <sheetName val="124"/>
      <sheetName val="125"/>
      <sheetName val="126"/>
      <sheetName val="127"/>
      <sheetName val="128"/>
      <sheetName val="112.baz"/>
      <sheetName val="129-1A"/>
      <sheetName val="129-1B"/>
      <sheetName val="129-2A"/>
      <sheetName val="129-2B"/>
      <sheetName val="129-3A"/>
      <sheetName val="129-3B"/>
      <sheetName val="129-4A"/>
      <sheetName val="129-4B"/>
      <sheetName val="129-5A"/>
      <sheetName val="129-5B"/>
      <sheetName val="129-6A"/>
      <sheetName val="129-6B"/>
      <sheetName val="129-7A"/>
      <sheetName val="129-7B"/>
      <sheetName val="129-8A"/>
      <sheetName val="129-8B"/>
      <sheetName val="129-9A"/>
      <sheetName val="129-9B"/>
      <sheetName val="129-10A"/>
      <sheetName val="129-10B"/>
      <sheetName val="129-11A"/>
      <sheetName val="129-11B"/>
      <sheetName val="129-12A"/>
      <sheetName val="129-12B"/>
      <sheetName val="129-13A"/>
      <sheetName val="129-13B"/>
      <sheetName val="129-14A"/>
      <sheetName val="129-14B"/>
      <sheetName val="129-15A"/>
      <sheetName val="129-15B"/>
      <sheetName val="129-16A"/>
      <sheetName val="129-16B"/>
      <sheetName val="129-17A"/>
      <sheetName val="129-17B"/>
      <sheetName val="129-18A"/>
      <sheetName val="129-18B"/>
      <sheetName val="129-19A"/>
      <sheetName val="129-19B"/>
      <sheetName val="129-20A"/>
      <sheetName val="129-20B"/>
      <sheetName val="130-1"/>
      <sheetName val="130-2"/>
      <sheetName val="130-3"/>
      <sheetName val="130-4"/>
      <sheetName val="130-5"/>
      <sheetName val="130-6"/>
      <sheetName val="130-7"/>
      <sheetName val="130-8"/>
      <sheetName val="130-9"/>
      <sheetName val="130-10"/>
      <sheetName val="130-11"/>
      <sheetName val="130-12"/>
      <sheetName val="130-13"/>
      <sheetName val="130-14"/>
      <sheetName val="130-15"/>
      <sheetName val="130-16"/>
      <sheetName val="130-17"/>
      <sheetName val="130-18"/>
      <sheetName val="130-19"/>
      <sheetName val="130-20"/>
      <sheetName val="131"/>
      <sheetName val="Şekil 3.11"/>
      <sheetName val="T 3.161"/>
      <sheetName val="132-1A"/>
      <sheetName val="132-1B"/>
      <sheetName val="132-1C"/>
      <sheetName val="132-2A"/>
      <sheetName val="132-2B"/>
      <sheetName val="132_2C"/>
      <sheetName val="132-3A"/>
      <sheetName val="132-3B"/>
      <sheetName val="132-3C"/>
      <sheetName val="132-4"/>
      <sheetName val="132-5A"/>
      <sheetName val="132-5B"/>
      <sheetName val="132-6A"/>
      <sheetName val="132-6B"/>
      <sheetName val="132-7"/>
      <sheetName val="132-8A"/>
      <sheetName val="132-8B"/>
      <sheetName val="132-9A"/>
      <sheetName val="132-9B.1"/>
      <sheetName val="132-9B.2"/>
      <sheetName val="132-9C"/>
      <sheetName val="132-10"/>
      <sheetName val="132-11A"/>
      <sheetName val="132-11B"/>
      <sheetName val="132-12"/>
      <sheetName val="132-13A"/>
      <sheetName val="132-13B"/>
      <sheetName val="132-14A"/>
      <sheetName val="132-14B"/>
      <sheetName val="132-14C"/>
      <sheetName val="132-15A"/>
      <sheetName val="132-15B"/>
      <sheetName val="132-15.1A"/>
      <sheetName val="132-15.1B"/>
      <sheetName val="132-15.2A"/>
      <sheetName val="132-15.2B"/>
      <sheetName val="132-15.3A"/>
      <sheetName val="132-15.3B"/>
      <sheetName val="132-15.4A"/>
      <sheetName val="132-15.4B"/>
      <sheetName val="132-15.5"/>
      <sheetName val="132-16A"/>
      <sheetName val="132-16B"/>
      <sheetName val="132-17A"/>
      <sheetName val="132-17B"/>
      <sheetName val="132-17.1A"/>
      <sheetName val="132-17.1B"/>
      <sheetName val="132-17.2A"/>
      <sheetName val="132-17.2B"/>
      <sheetName val="132-17.3"/>
      <sheetName val="132-18"/>
      <sheetName val="107.3"/>
      <sheetName val="107.4"/>
      <sheetName val="107.5"/>
      <sheetName val="107.6"/>
      <sheetName val="107.7"/>
      <sheetName val="111.3"/>
      <sheetName val="111.4"/>
      <sheetName val="111.5"/>
      <sheetName val="111.6"/>
      <sheetName val="111.7"/>
      <sheetName val="267."/>
      <sheetName val="OZ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ow r="6">
          <cell r="B6">
            <v>3.9773736955176813</v>
          </cell>
        </row>
      </sheetData>
      <sheetData sheetId="121"/>
      <sheetData sheetId="122">
        <row r="6">
          <cell r="B6">
            <v>2.4625952435977667</v>
          </cell>
        </row>
        <row r="7">
          <cell r="B7">
            <v>5.8044009615512451</v>
          </cell>
        </row>
        <row r="8">
          <cell r="B8">
            <v>8.8819357565390451</v>
          </cell>
        </row>
        <row r="9">
          <cell r="B9">
            <v>13.763571644569428</v>
          </cell>
        </row>
        <row r="10">
          <cell r="B10">
            <v>18.132183560943897</v>
          </cell>
        </row>
        <row r="11">
          <cell r="B11">
            <v>23.123580906451984</v>
          </cell>
        </row>
        <row r="12">
          <cell r="B12">
            <v>32.978799350191736</v>
          </cell>
        </row>
        <row r="13">
          <cell r="B13">
            <v>37.222809604865795</v>
          </cell>
        </row>
      </sheetData>
      <sheetData sheetId="123"/>
      <sheetData sheetId="124">
        <row r="6">
          <cell r="C6">
            <v>9.8214508684331303</v>
          </cell>
        </row>
      </sheetData>
      <sheetData sheetId="125"/>
      <sheetData sheetId="126">
        <row r="6">
          <cell r="D6">
            <v>8.6761983949032331</v>
          </cell>
        </row>
      </sheetData>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_02"/>
      <sheetName val="SulMvc"/>
      <sheetName val="Derive-Mvc"/>
      <sheetName val="(Sul&amp;Duz.Derive)Mvc"/>
      <sheetName val="(Sul&amp;Duz.Derive)Mvc.Duz"/>
      <sheetName val="Derive-Duz.Mvc"/>
      <sheetName val="Sul-Duz.Mvc"/>
      <sheetName val="Kontrol (2)"/>
      <sheetName val="Kontrol"/>
      <sheetName val="Dogallastirma"/>
      <sheetName val="Sul_Pln"/>
      <sheetName val="TopSuKul_Pln"/>
      <sheetName val="Birim"/>
      <sheetName val="CiftKutle"/>
    </sheetNames>
    <sheetDataSet>
      <sheetData sheetId="0"/>
      <sheetData sheetId="1">
        <row r="6">
          <cell r="Q6">
            <v>0.15</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KKapakForm"/>
      <sheetName val="HakTanForm"/>
      <sheetName val="ImalMikForm"/>
      <sheetName val="IhzMikForm"/>
      <sheetName val="YolaNakForm"/>
      <sheetName val="DepoNakForm"/>
      <sheetName val="BFiyForm"/>
      <sheetName val="YÖNETİM"/>
      <sheetName val="Genel"/>
      <sheetName val="YAZ"/>
      <sheetName val="Miktarlar"/>
      <sheetName val="Grup"/>
      <sheetName val="MFFZam"/>
      <sheetName val="Ek Bilgi"/>
      <sheetName val="ÖzelPoz"/>
      <sheetName val="BFLIST"/>
      <sheetName val="NAKLİYE"/>
      <sheetName val="YolFigList"/>
      <sheetName val="PakFigList"/>
      <sheetName val="PaketFigure"/>
      <sheetName val="M&lt;10.000"/>
      <sheetName val="M&gt;10.000"/>
      <sheetName val="AtsDisSay"/>
      <sheetName val="UYiliOdenMFF"/>
      <sheetName val="MFFIcmal"/>
      <sheetName val="MFFTesbitMik"/>
      <sheetName val="Kesif"/>
      <sheetName val="IsTesTut"/>
      <sheetName val="IseBasTut"/>
      <sheetName val="Muk.Keşif"/>
      <sheetName val="KesifArtis"/>
      <sheetName val="SureUzat"/>
      <sheetName val="Sheet1"/>
      <sheetName val="YesDefKap"/>
      <sheetName val="YesDefIc"/>
      <sheetName val="YilSonuTesTut"/>
      <sheetName val="HakIcSay"/>
      <sheetName val="Icmal"/>
      <sheetName val="MFFTesbitTut"/>
      <sheetName val="MMikHesTab"/>
      <sheetName val="MFFHesTab"/>
      <sheetName val="Fatura"/>
      <sheetName val="OdeCet"/>
      <sheetName val="HakRap"/>
      <sheetName val="YeniFiyTut"/>
      <sheetName val="Ilan"/>
      <sheetName val="IlanTut"/>
      <sheetName val="DiziPus"/>
      <sheetName val="GenFiyAnlz"/>
      <sheetName val="MFFEntListe"/>
      <sheetName val="MFFListe"/>
      <sheetName val="RAYIC"/>
      <sheetName val="TESISAT"/>
      <sheetName val="IhzTesTut"/>
      <sheetName val="IhzKesC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C5" t="str">
            <v>Uşak-Kula ( II.Kısım) Yolu Tesviye İşleri, Sanat Yapıları ve Üstyapı Yapımı</v>
          </cell>
        </row>
        <row r="10">
          <cell r="F10" t="str">
            <v>Contransimex S.A. + Kisan İnş.Müh.San.ve Tic.A.Ş. Ort.Gir.</v>
          </cell>
        </row>
        <row r="30">
          <cell r="H30" t="str">
            <v>Adnan TUSKAN</v>
          </cell>
        </row>
        <row r="31">
          <cell r="H31" t="str">
            <v>Emin KARABACAK</v>
          </cell>
        </row>
        <row r="32">
          <cell r="H32" t="str">
            <v>İbrahim ÜNAL</v>
          </cell>
        </row>
      </sheetData>
      <sheetData sheetId="9" refreshError="1"/>
      <sheetData sheetId="10" refreshError="1"/>
      <sheetData sheetId="11" refreshError="1"/>
      <sheetData sheetId="12" refreshError="1"/>
      <sheetData sheetId="13" refreshError="1">
        <row r="45">
          <cell r="D45">
            <v>1</v>
          </cell>
        </row>
        <row r="88">
          <cell r="D88">
            <v>84000000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llanım"/>
      <sheetName val="Input"/>
      <sheetName val="Yüzey Akım"/>
      <sheetName val="Cikti Sayfasi"/>
      <sheetName val="Cikti Sayfasi (2)"/>
      <sheetName val="Isletme Ozeti"/>
      <sheetName val="Dolusavak"/>
      <sheetName val="Enerji"/>
      <sheetName val="Mansap Eksik Kalan"/>
      <sheetName val="Rezervuardan Çekilen"/>
      <sheetName val="E. Üretimi"/>
      <sheetName val="İşletme Grafiği"/>
      <sheetName val="İşletme Grafiği (2)"/>
      <sheetName val="Sheet3"/>
      <sheetName val="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Şekil 4.1"/>
      <sheetName val="Şekil 4.2-3"/>
      <sheetName val="Tablo 4.1 4.2"/>
      <sheetName val="Tablo 4.3"/>
      <sheetName val="Tablo 4.4"/>
      <sheetName val="Tablo 4.5"/>
      <sheetName val="Tablo 4.6"/>
      <sheetName val="Tablo 4.8"/>
      <sheetName val="Tablo 4.9"/>
      <sheetName val="Tablo 4.10"/>
      <sheetName val="Tablo 4.11"/>
      <sheetName val="Tablo 4.12"/>
      <sheetName val="Tablo 4.13"/>
      <sheetName val="Tablo 4.14"/>
      <sheetName val="Tablo 4.15-1"/>
      <sheetName val="Tablo 4.15-2"/>
      <sheetName val="Tablo 4.15-3"/>
      <sheetName val="Tablo 4.15-4"/>
      <sheetName val="Tablo 4.15-5"/>
      <sheetName val="Tablo 4.15-6"/>
      <sheetName val="Tablo 4.15-7"/>
      <sheetName val="Tablo 4.15-8"/>
      <sheetName val="Tablo 4.15-9"/>
      <sheetName val="Tablo 4.15-10"/>
      <sheetName val="Tablo 4.15-11"/>
      <sheetName val="Tablo 4.15-12"/>
      <sheetName val="Tablo 4.15-13"/>
      <sheetName val="Tablo 4.15-14"/>
      <sheetName val="Tablo 4.15-15"/>
      <sheetName val="Tablo 4.15-16"/>
      <sheetName val="Tablo 4.15-17"/>
      <sheetName val="Tablo 4.15-18"/>
      <sheetName val="Tablo 4.15-19"/>
      <sheetName val="Tablo 4.15-20"/>
      <sheetName val="Tablo 4.15-21"/>
      <sheetName val="Tablo 4.15-22"/>
      <sheetName val="Tablo 4.15-23"/>
      <sheetName val="Tablo 4.15-24"/>
      <sheetName val="Tablo 4.15-25"/>
      <sheetName val="Tablo 4.15-26"/>
      <sheetName val="Tablo 4.15-27"/>
      <sheetName val="Tablo 4.15-28"/>
      <sheetName val="Tablo 4.15-29"/>
      <sheetName val="Tablo 4.15-30"/>
      <sheetName val="Tablo 4.15-31"/>
      <sheetName val="Tablo 4.15-32"/>
      <sheetName val="Tablo 4.15-33"/>
      <sheetName val="Tablo 4.15-34"/>
      <sheetName val="Tablo 4.15-35"/>
      <sheetName val="Tablo 4.15-36"/>
      <sheetName val="Tablo 4.15-37"/>
      <sheetName val="Tablo 4.15-38"/>
      <sheetName val="Tablo 4.15-39"/>
      <sheetName val="Tablo 4.15-40"/>
      <sheetName val="Tablo 4.15-41"/>
      <sheetName val="Tablo 4.16"/>
      <sheetName val="Tablo 4.17"/>
      <sheetName val="Tablo 4.18"/>
      <sheetName val="Tablo 4.19"/>
      <sheetName val="Tablo 4.19 (ham)"/>
      <sheetName val="Tablo 4.21"/>
      <sheetName val="Tablo 4.22"/>
      <sheetName val="Tablo 4.23"/>
      <sheetName val="Tablo 4.24"/>
      <sheetName val="Tablo 4.25"/>
      <sheetName val="Tablo 4.26"/>
      <sheetName val="Tablo 4.27"/>
      <sheetName val="Şekil 4.4"/>
      <sheetName val="Şekil 4.5"/>
      <sheetName val="Tablo 4.30"/>
      <sheetName val="Tablo 4.31"/>
      <sheetName val="Tablo 4.32"/>
      <sheetName val="Tablo 4.33"/>
      <sheetName val="Tablo 4.34"/>
      <sheetName val="Tablo 4.35"/>
      <sheetName val="Tablo 4.36"/>
      <sheetName val="Şekil 4.6"/>
      <sheetName val="Tablo 4_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row r="1">
          <cell r="A1" t="str">
            <v>Tablo 4.31</v>
          </cell>
          <cell r="C1" t="str">
            <v>Proje Sahası İçi ve Çevresindeki Yağış Gözlem</v>
          </cell>
        </row>
        <row r="2">
          <cell r="C2" t="str">
            <v>İstasyonlarının Yılda Günlük Maksimum Yağış Değerleri (mm)</v>
          </cell>
        </row>
        <row r="3">
          <cell r="A3" t="str">
            <v>Adı</v>
          </cell>
          <cell r="B3" t="str">
            <v>YAVUZKEMAL</v>
          </cell>
          <cell r="D3" t="str">
            <v>TAMDERE</v>
          </cell>
          <cell r="F3" t="str">
            <v>GİRESUN</v>
          </cell>
          <cell r="H3" t="str">
            <v>KEŞAP</v>
          </cell>
          <cell r="J3" t="str">
            <v>BULANCAK</v>
          </cell>
          <cell r="L3" t="str">
            <v>TİREBOLU</v>
          </cell>
          <cell r="N3" t="str">
            <v>MERYEMANA</v>
          </cell>
        </row>
        <row r="4">
          <cell r="A4" t="str">
            <v>Kot</v>
          </cell>
          <cell r="B4">
            <v>1625</v>
          </cell>
          <cell r="D4">
            <v>1700</v>
          </cell>
          <cell r="F4">
            <v>38</v>
          </cell>
          <cell r="H4">
            <v>30</v>
          </cell>
          <cell r="J4">
            <v>10</v>
          </cell>
          <cell r="L4">
            <v>10</v>
          </cell>
          <cell r="N4">
            <v>1100</v>
          </cell>
        </row>
        <row r="5">
          <cell r="A5" t="str">
            <v>Kur</v>
          </cell>
          <cell r="B5" t="str">
            <v>DMİ</v>
          </cell>
          <cell r="D5" t="str">
            <v>DSİ</v>
          </cell>
          <cell r="F5" t="str">
            <v>DMİ</v>
          </cell>
          <cell r="H5" t="str">
            <v>DMİ</v>
          </cell>
          <cell r="J5" t="str">
            <v>DMİ</v>
          </cell>
          <cell r="L5" t="str">
            <v>DMİ</v>
          </cell>
          <cell r="N5" t="str">
            <v>DMİ</v>
          </cell>
        </row>
        <row r="6">
          <cell r="A6" t="str">
            <v>Yıl</v>
          </cell>
          <cell r="B6" t="str">
            <v>Yeb</v>
          </cell>
          <cell r="C6" t="str">
            <v>g-ay</v>
          </cell>
          <cell r="D6" t="str">
            <v>Yeb</v>
          </cell>
          <cell r="E6" t="str">
            <v>g-ay</v>
          </cell>
          <cell r="F6" t="str">
            <v>Yeb</v>
          </cell>
          <cell r="G6" t="str">
            <v>g-ay</v>
          </cell>
          <cell r="H6" t="str">
            <v>Yeb</v>
          </cell>
          <cell r="I6" t="str">
            <v>g-ay</v>
          </cell>
          <cell r="J6" t="str">
            <v>Yeb</v>
          </cell>
          <cell r="K6" t="str">
            <v>g-ay</v>
          </cell>
          <cell r="L6" t="str">
            <v>Yeb</v>
          </cell>
          <cell r="M6" t="str">
            <v>g-ay</v>
          </cell>
          <cell r="N6" t="str">
            <v>Yeb</v>
          </cell>
          <cell r="O6" t="str">
            <v>g-ay</v>
          </cell>
        </row>
        <row r="7">
          <cell r="A7">
            <v>2002</v>
          </cell>
          <cell r="F7">
            <v>72.599999999999994</v>
          </cell>
        </row>
        <row r="8">
          <cell r="A8">
            <v>2001</v>
          </cell>
          <cell r="F8">
            <v>68</v>
          </cell>
        </row>
        <row r="9">
          <cell r="A9">
            <v>2000</v>
          </cell>
          <cell r="F9">
            <v>68.400000000000006</v>
          </cell>
          <cell r="L9">
            <v>42.5</v>
          </cell>
          <cell r="M9">
            <v>1</v>
          </cell>
        </row>
        <row r="10">
          <cell r="A10">
            <v>1999</v>
          </cell>
          <cell r="F10">
            <v>69.8</v>
          </cell>
          <cell r="L10">
            <v>92.4</v>
          </cell>
          <cell r="M10">
            <v>9</v>
          </cell>
        </row>
        <row r="11">
          <cell r="A11">
            <v>1998</v>
          </cell>
          <cell r="F11">
            <v>62.2</v>
          </cell>
          <cell r="L11">
            <v>108.9</v>
          </cell>
          <cell r="M11">
            <v>12</v>
          </cell>
        </row>
        <row r="12">
          <cell r="A12">
            <v>1997</v>
          </cell>
          <cell r="F12">
            <v>50.4</v>
          </cell>
          <cell r="L12">
            <v>71.2</v>
          </cell>
          <cell r="M12">
            <v>7</v>
          </cell>
        </row>
        <row r="13">
          <cell r="A13">
            <v>1996</v>
          </cell>
          <cell r="F13">
            <v>75.400000000000006</v>
          </cell>
          <cell r="L13">
            <v>59.7</v>
          </cell>
          <cell r="M13">
            <v>10</v>
          </cell>
        </row>
        <row r="14">
          <cell r="A14">
            <v>1995</v>
          </cell>
          <cell r="F14">
            <v>55</v>
          </cell>
          <cell r="L14">
            <v>76.2</v>
          </cell>
          <cell r="M14">
            <v>6</v>
          </cell>
        </row>
        <row r="15">
          <cell r="A15">
            <v>1994</v>
          </cell>
          <cell r="F15">
            <v>70.2</v>
          </cell>
          <cell r="L15">
            <v>82.3</v>
          </cell>
          <cell r="M15">
            <v>10</v>
          </cell>
        </row>
        <row r="16">
          <cell r="A16">
            <v>1993</v>
          </cell>
          <cell r="F16">
            <v>53.1</v>
          </cell>
          <cell r="L16">
            <v>94.4</v>
          </cell>
          <cell r="M16">
            <v>8</v>
          </cell>
        </row>
        <row r="17">
          <cell r="A17">
            <v>1992</v>
          </cell>
          <cell r="F17">
            <v>103.7</v>
          </cell>
          <cell r="L17">
            <v>134.1</v>
          </cell>
          <cell r="M17">
            <v>7</v>
          </cell>
        </row>
        <row r="18">
          <cell r="A18">
            <v>1991</v>
          </cell>
          <cell r="F18">
            <v>72.400000000000006</v>
          </cell>
          <cell r="L18">
            <v>93.5</v>
          </cell>
          <cell r="M18">
            <v>8</v>
          </cell>
        </row>
        <row r="19">
          <cell r="A19">
            <v>1990</v>
          </cell>
          <cell r="F19">
            <v>65.7</v>
          </cell>
          <cell r="L19">
            <v>81.400000000000006</v>
          </cell>
          <cell r="M19">
            <v>6</v>
          </cell>
        </row>
        <row r="20">
          <cell r="A20">
            <v>1989</v>
          </cell>
          <cell r="F20">
            <v>85.8</v>
          </cell>
          <cell r="L20">
            <v>87.6</v>
          </cell>
          <cell r="M20">
            <v>7</v>
          </cell>
        </row>
        <row r="21">
          <cell r="A21">
            <v>1988</v>
          </cell>
          <cell r="F21">
            <v>78.2</v>
          </cell>
          <cell r="L21">
            <v>242.3</v>
          </cell>
          <cell r="M21">
            <v>8</v>
          </cell>
          <cell r="N21">
            <v>40.299999999999997</v>
          </cell>
        </row>
        <row r="22">
          <cell r="A22">
            <v>1987</v>
          </cell>
          <cell r="D22">
            <v>60.4</v>
          </cell>
          <cell r="E22">
            <v>1</v>
          </cell>
          <cell r="F22">
            <v>50.8</v>
          </cell>
          <cell r="H22">
            <v>54.7</v>
          </cell>
          <cell r="I22">
            <v>11</v>
          </cell>
          <cell r="J22">
            <v>40.700000000000003</v>
          </cell>
          <cell r="L22">
            <v>75</v>
          </cell>
          <cell r="M22">
            <v>8</v>
          </cell>
          <cell r="N22">
            <v>42.5</v>
          </cell>
          <cell r="O22">
            <v>1</v>
          </cell>
        </row>
        <row r="23">
          <cell r="A23">
            <v>1986</v>
          </cell>
          <cell r="D23">
            <v>34.5</v>
          </cell>
          <cell r="E23">
            <v>11</v>
          </cell>
          <cell r="F23">
            <v>95.4</v>
          </cell>
          <cell r="H23">
            <v>71.099999999999994</v>
          </cell>
          <cell r="I23">
            <v>11</v>
          </cell>
          <cell r="J23">
            <v>44</v>
          </cell>
          <cell r="L23">
            <v>53.3</v>
          </cell>
          <cell r="M23">
            <v>11</v>
          </cell>
          <cell r="N23">
            <v>32.5</v>
          </cell>
          <cell r="O23">
            <v>1</v>
          </cell>
        </row>
        <row r="24">
          <cell r="A24">
            <v>1985</v>
          </cell>
          <cell r="D24">
            <v>27.2</v>
          </cell>
          <cell r="E24">
            <v>10</v>
          </cell>
          <cell r="F24">
            <v>53.8</v>
          </cell>
          <cell r="J24">
            <v>57.2</v>
          </cell>
          <cell r="L24">
            <v>61.6</v>
          </cell>
          <cell r="M24">
            <v>12</v>
          </cell>
          <cell r="N24">
            <v>47.2</v>
          </cell>
          <cell r="O24">
            <v>6</v>
          </cell>
        </row>
        <row r="25">
          <cell r="A25">
            <v>1984</v>
          </cell>
          <cell r="B25">
            <v>43.1</v>
          </cell>
          <cell r="D25">
            <v>27.8</v>
          </cell>
          <cell r="E25">
            <v>4</v>
          </cell>
          <cell r="F25">
            <v>56.2</v>
          </cell>
          <cell r="L25">
            <v>91</v>
          </cell>
          <cell r="M25">
            <v>10</v>
          </cell>
          <cell r="N25">
            <v>25.8</v>
          </cell>
          <cell r="O25">
            <v>5</v>
          </cell>
        </row>
        <row r="26">
          <cell r="A26">
            <v>1983</v>
          </cell>
          <cell r="B26">
            <v>44.6</v>
          </cell>
          <cell r="D26">
            <v>70.3</v>
          </cell>
          <cell r="E26">
            <v>11</v>
          </cell>
          <cell r="F26">
            <v>53.7</v>
          </cell>
          <cell r="L26">
            <v>86.5</v>
          </cell>
          <cell r="M26">
            <v>7</v>
          </cell>
          <cell r="N26">
            <v>36.200000000000003</v>
          </cell>
          <cell r="O26">
            <v>1</v>
          </cell>
        </row>
        <row r="27">
          <cell r="A27">
            <v>1982</v>
          </cell>
          <cell r="B27">
            <v>38.700000000000003</v>
          </cell>
          <cell r="D27">
            <v>36.700000000000003</v>
          </cell>
          <cell r="E27">
            <v>6</v>
          </cell>
          <cell r="F27">
            <v>50.7</v>
          </cell>
          <cell r="H27">
            <v>66.8</v>
          </cell>
          <cell r="I27">
            <v>10</v>
          </cell>
          <cell r="L27">
            <v>76.8</v>
          </cell>
          <cell r="M27">
            <v>9</v>
          </cell>
          <cell r="N27">
            <v>31</v>
          </cell>
          <cell r="O27">
            <v>7</v>
          </cell>
        </row>
        <row r="28">
          <cell r="A28">
            <v>1981</v>
          </cell>
          <cell r="B28">
            <v>58.7</v>
          </cell>
          <cell r="D28">
            <v>100.8</v>
          </cell>
          <cell r="E28">
            <v>12</v>
          </cell>
          <cell r="F28">
            <v>128.30000000000001</v>
          </cell>
          <cell r="H28">
            <v>108.8</v>
          </cell>
          <cell r="I28">
            <v>10</v>
          </cell>
          <cell r="L28">
            <v>73.7</v>
          </cell>
          <cell r="M28">
            <v>10</v>
          </cell>
          <cell r="N28">
            <v>28</v>
          </cell>
          <cell r="O28">
            <v>10</v>
          </cell>
        </row>
        <row r="29">
          <cell r="A29">
            <v>1980</v>
          </cell>
          <cell r="B29">
            <v>32.700000000000003</v>
          </cell>
          <cell r="D29">
            <v>60.7</v>
          </cell>
          <cell r="E29">
            <v>5</v>
          </cell>
          <cell r="F29">
            <v>47.4</v>
          </cell>
          <cell r="H29">
            <v>57.6</v>
          </cell>
          <cell r="I29">
            <v>6</v>
          </cell>
          <cell r="J29">
            <v>36.799999999999997</v>
          </cell>
          <cell r="L29">
            <v>64.2</v>
          </cell>
          <cell r="M29">
            <v>11</v>
          </cell>
          <cell r="N29">
            <v>31</v>
          </cell>
          <cell r="O29">
            <v>5</v>
          </cell>
        </row>
        <row r="30">
          <cell r="A30">
            <v>1979</v>
          </cell>
          <cell r="B30">
            <v>40.799999999999997</v>
          </cell>
          <cell r="D30">
            <v>41.2</v>
          </cell>
          <cell r="E30">
            <v>11</v>
          </cell>
          <cell r="F30">
            <v>72.900000000000006</v>
          </cell>
          <cell r="H30">
            <v>100.7</v>
          </cell>
          <cell r="I30">
            <v>7</v>
          </cell>
          <cell r="J30">
            <v>57.4</v>
          </cell>
          <cell r="L30">
            <v>92.6</v>
          </cell>
          <cell r="M30">
            <v>5</v>
          </cell>
          <cell r="N30">
            <v>37.200000000000003</v>
          </cell>
          <cell r="O30">
            <v>5</v>
          </cell>
        </row>
        <row r="31">
          <cell r="A31">
            <v>1978</v>
          </cell>
          <cell r="B31">
            <v>42.3</v>
          </cell>
          <cell r="D31">
            <v>46.1</v>
          </cell>
          <cell r="E31">
            <v>3</v>
          </cell>
          <cell r="F31">
            <v>34.5</v>
          </cell>
          <cell r="H31">
            <v>69.8</v>
          </cell>
          <cell r="I31">
            <v>6</v>
          </cell>
          <cell r="J31">
            <v>76.3</v>
          </cell>
          <cell r="L31">
            <v>54.3</v>
          </cell>
          <cell r="M31">
            <v>10</v>
          </cell>
          <cell r="N31">
            <v>32.1</v>
          </cell>
          <cell r="O31">
            <v>6</v>
          </cell>
        </row>
        <row r="32">
          <cell r="A32">
            <v>1977</v>
          </cell>
          <cell r="B32">
            <v>43.8</v>
          </cell>
          <cell r="D32">
            <v>41.3</v>
          </cell>
          <cell r="E32">
            <v>5</v>
          </cell>
          <cell r="F32">
            <v>77</v>
          </cell>
          <cell r="H32">
            <v>66.3</v>
          </cell>
          <cell r="I32">
            <v>12</v>
          </cell>
          <cell r="J32">
            <v>70.400000000000006</v>
          </cell>
          <cell r="L32">
            <v>241.3</v>
          </cell>
          <cell r="M32">
            <v>7</v>
          </cell>
          <cell r="N32">
            <v>26.1</v>
          </cell>
          <cell r="O32">
            <v>10</v>
          </cell>
        </row>
        <row r="33">
          <cell r="A33">
            <v>1976</v>
          </cell>
          <cell r="B33">
            <v>43.2</v>
          </cell>
          <cell r="D33">
            <v>26.2</v>
          </cell>
          <cell r="E33">
            <v>6</v>
          </cell>
          <cell r="F33">
            <v>37.5</v>
          </cell>
          <cell r="H33">
            <v>56.2</v>
          </cell>
          <cell r="I33">
            <v>12</v>
          </cell>
          <cell r="J33">
            <v>42.5</v>
          </cell>
          <cell r="L33">
            <v>181.3</v>
          </cell>
          <cell r="M33">
            <v>8</v>
          </cell>
          <cell r="N33">
            <v>130.9</v>
          </cell>
          <cell r="O33">
            <v>5</v>
          </cell>
        </row>
        <row r="34">
          <cell r="A34">
            <v>1975</v>
          </cell>
          <cell r="B34">
            <v>73.2</v>
          </cell>
          <cell r="D34">
            <v>60.5</v>
          </cell>
          <cell r="E34">
            <v>4</v>
          </cell>
          <cell r="F34">
            <v>49.7</v>
          </cell>
          <cell r="H34">
            <v>71.400000000000006</v>
          </cell>
          <cell r="I34">
            <v>9</v>
          </cell>
          <cell r="L34">
            <v>70</v>
          </cell>
          <cell r="M34">
            <v>9</v>
          </cell>
          <cell r="N34">
            <v>25.5</v>
          </cell>
          <cell r="O34">
            <v>10</v>
          </cell>
        </row>
        <row r="35">
          <cell r="A35">
            <v>1974</v>
          </cell>
          <cell r="B35">
            <v>45.7</v>
          </cell>
          <cell r="D35">
            <v>41.7</v>
          </cell>
          <cell r="E35">
            <v>10</v>
          </cell>
          <cell r="F35">
            <v>61.7</v>
          </cell>
          <cell r="H35">
            <v>91.8</v>
          </cell>
          <cell r="I35">
            <v>11</v>
          </cell>
          <cell r="L35">
            <v>31.3</v>
          </cell>
          <cell r="M35">
            <v>8</v>
          </cell>
        </row>
        <row r="36">
          <cell r="A36">
            <v>1973</v>
          </cell>
          <cell r="B36">
            <v>37.6</v>
          </cell>
          <cell r="D36">
            <v>24.5</v>
          </cell>
          <cell r="E36">
            <v>6</v>
          </cell>
          <cell r="F36">
            <v>63.1</v>
          </cell>
          <cell r="H36">
            <v>61.9</v>
          </cell>
          <cell r="I36">
            <v>10</v>
          </cell>
          <cell r="J36">
            <v>52.5</v>
          </cell>
          <cell r="L36">
            <v>8.67</v>
          </cell>
        </row>
        <row r="37">
          <cell r="A37">
            <v>1972</v>
          </cell>
          <cell r="B37">
            <v>54.2</v>
          </cell>
          <cell r="D37">
            <v>56.6</v>
          </cell>
          <cell r="E37">
            <v>10</v>
          </cell>
          <cell r="F37">
            <v>83.8</v>
          </cell>
          <cell r="H37">
            <v>64.8</v>
          </cell>
          <cell r="I37">
            <v>6</v>
          </cell>
          <cell r="J37">
            <v>98.4</v>
          </cell>
          <cell r="L37">
            <v>6.07</v>
          </cell>
        </row>
        <row r="38">
          <cell r="A38">
            <v>1971</v>
          </cell>
          <cell r="B38">
            <v>41.6</v>
          </cell>
          <cell r="D38">
            <v>29.2</v>
          </cell>
          <cell r="E38">
            <v>10</v>
          </cell>
          <cell r="F38">
            <v>55.9</v>
          </cell>
          <cell r="H38">
            <v>66.2</v>
          </cell>
          <cell r="I38">
            <v>11</v>
          </cell>
          <cell r="J38">
            <v>50.6</v>
          </cell>
          <cell r="L38">
            <v>0</v>
          </cell>
        </row>
        <row r="39">
          <cell r="A39">
            <v>1970</v>
          </cell>
          <cell r="B39">
            <v>34.200000000000003</v>
          </cell>
          <cell r="D39">
            <v>45.9</v>
          </cell>
          <cell r="E39">
            <v>11</v>
          </cell>
          <cell r="F39">
            <v>66.8</v>
          </cell>
          <cell r="H39">
            <v>50.2</v>
          </cell>
          <cell r="I39">
            <v>9</v>
          </cell>
          <cell r="J39">
            <v>38.9</v>
          </cell>
          <cell r="L39">
            <v>62</v>
          </cell>
        </row>
        <row r="40">
          <cell r="A40">
            <v>1969</v>
          </cell>
          <cell r="B40">
            <v>32.1</v>
          </cell>
          <cell r="D40">
            <v>23.7</v>
          </cell>
          <cell r="E40">
            <v>11</v>
          </cell>
          <cell r="F40">
            <v>39.799999999999997</v>
          </cell>
          <cell r="H40">
            <v>58.2</v>
          </cell>
          <cell r="I40">
            <v>7</v>
          </cell>
          <cell r="J40">
            <v>63.5</v>
          </cell>
          <cell r="L40">
            <v>92.3</v>
          </cell>
        </row>
        <row r="41">
          <cell r="A41">
            <v>1968</v>
          </cell>
          <cell r="B41">
            <v>33.799999999999997</v>
          </cell>
          <cell r="D41">
            <v>30.5</v>
          </cell>
          <cell r="E41">
            <v>11</v>
          </cell>
          <cell r="F41">
            <v>98</v>
          </cell>
          <cell r="H41">
            <v>86.5</v>
          </cell>
          <cell r="I41">
            <v>10</v>
          </cell>
          <cell r="J41">
            <v>40.6</v>
          </cell>
          <cell r="L41">
            <v>62.2</v>
          </cell>
        </row>
        <row r="42">
          <cell r="A42">
            <v>1967</v>
          </cell>
          <cell r="B42">
            <v>51.3</v>
          </cell>
          <cell r="D42">
            <v>37.6</v>
          </cell>
          <cell r="E42">
            <v>11</v>
          </cell>
          <cell r="F42">
            <v>61.9</v>
          </cell>
          <cell r="H42">
            <v>131.4</v>
          </cell>
          <cell r="I42">
            <v>8</v>
          </cell>
          <cell r="J42">
            <v>76.099999999999994</v>
          </cell>
          <cell r="L42">
            <v>92.5</v>
          </cell>
        </row>
        <row r="43">
          <cell r="A43">
            <v>1966</v>
          </cell>
          <cell r="B43">
            <v>39.799999999999997</v>
          </cell>
          <cell r="D43">
            <v>36.200000000000003</v>
          </cell>
          <cell r="E43">
            <v>11</v>
          </cell>
          <cell r="F43">
            <v>110.5</v>
          </cell>
          <cell r="H43">
            <v>67.8</v>
          </cell>
          <cell r="I43">
            <v>12</v>
          </cell>
          <cell r="L43">
            <v>0</v>
          </cell>
        </row>
        <row r="44">
          <cell r="A44">
            <v>1965</v>
          </cell>
          <cell r="B44">
            <v>72.099999999999994</v>
          </cell>
          <cell r="D44">
            <v>50.5</v>
          </cell>
          <cell r="E44">
            <v>6</v>
          </cell>
          <cell r="F44">
            <v>95.5</v>
          </cell>
          <cell r="H44">
            <v>60.1</v>
          </cell>
          <cell r="I44">
            <v>9</v>
          </cell>
          <cell r="J44">
            <v>63.5</v>
          </cell>
          <cell r="L44">
            <v>82.9</v>
          </cell>
        </row>
        <row r="45">
          <cell r="A45">
            <v>1964</v>
          </cell>
          <cell r="B45">
            <v>51.3</v>
          </cell>
          <cell r="D45">
            <v>24.2</v>
          </cell>
          <cell r="E45">
            <v>3</v>
          </cell>
          <cell r="F45">
            <v>103.2</v>
          </cell>
          <cell r="H45">
            <v>87.7</v>
          </cell>
          <cell r="I45">
            <v>9</v>
          </cell>
          <cell r="J45">
            <v>37.799999999999997</v>
          </cell>
          <cell r="L45">
            <v>78.3</v>
          </cell>
        </row>
        <row r="46">
          <cell r="A46">
            <v>1963</v>
          </cell>
          <cell r="B46">
            <v>42.1</v>
          </cell>
          <cell r="D46">
            <v>28.2</v>
          </cell>
          <cell r="E46">
            <v>1</v>
          </cell>
          <cell r="F46">
            <v>45.9</v>
          </cell>
          <cell r="H46">
            <v>56</v>
          </cell>
          <cell r="I46">
            <v>3</v>
          </cell>
          <cell r="J46">
            <v>41.2</v>
          </cell>
          <cell r="L46">
            <v>78.900000000000006</v>
          </cell>
        </row>
        <row r="47">
          <cell r="A47">
            <v>1962</v>
          </cell>
          <cell r="B47">
            <v>38.299999999999997</v>
          </cell>
          <cell r="D47">
            <v>33.200000000000003</v>
          </cell>
          <cell r="E47">
            <v>12</v>
          </cell>
          <cell r="F47">
            <v>55.3</v>
          </cell>
          <cell r="H47">
            <v>68.900000000000006</v>
          </cell>
          <cell r="I47">
            <v>9</v>
          </cell>
          <cell r="J47">
            <v>144.1</v>
          </cell>
          <cell r="L47">
            <v>64.400000000000006</v>
          </cell>
        </row>
        <row r="48">
          <cell r="A48">
            <v>1961</v>
          </cell>
          <cell r="B48">
            <v>53.2</v>
          </cell>
          <cell r="D48">
            <v>30.1</v>
          </cell>
          <cell r="E48">
            <v>11</v>
          </cell>
          <cell r="F48">
            <v>59.6</v>
          </cell>
          <cell r="H48">
            <v>92.7</v>
          </cell>
          <cell r="I48">
            <v>11</v>
          </cell>
          <cell r="J48">
            <v>62.9</v>
          </cell>
          <cell r="L48">
            <v>10.63</v>
          </cell>
        </row>
        <row r="49">
          <cell r="A49">
            <v>1960</v>
          </cell>
          <cell r="B49">
            <v>49.4</v>
          </cell>
          <cell r="D49">
            <v>62.5</v>
          </cell>
          <cell r="E49">
            <v>6</v>
          </cell>
          <cell r="F49">
            <v>44.5</v>
          </cell>
          <cell r="H49">
            <v>68.099999999999994</v>
          </cell>
          <cell r="I49">
            <v>2</v>
          </cell>
          <cell r="J49">
            <v>55.6</v>
          </cell>
          <cell r="L49">
            <v>8.68</v>
          </cell>
        </row>
        <row r="50">
          <cell r="A50">
            <v>1959</v>
          </cell>
          <cell r="B50">
            <v>38.5</v>
          </cell>
          <cell r="D50">
            <v>24</v>
          </cell>
          <cell r="E50">
            <v>11</v>
          </cell>
          <cell r="F50">
            <v>63.2</v>
          </cell>
          <cell r="H50">
            <v>135.80000000000001</v>
          </cell>
          <cell r="I50">
            <v>8</v>
          </cell>
          <cell r="J50">
            <v>57.6</v>
          </cell>
          <cell r="L50">
            <v>16.47</v>
          </cell>
        </row>
        <row r="51">
          <cell r="A51">
            <v>1958</v>
          </cell>
          <cell r="F51">
            <v>58.6</v>
          </cell>
          <cell r="H51">
            <v>73.2</v>
          </cell>
          <cell r="I51">
            <v>7</v>
          </cell>
          <cell r="J51">
            <v>50.1</v>
          </cell>
          <cell r="L51">
            <v>13.77</v>
          </cell>
        </row>
        <row r="52">
          <cell r="A52">
            <v>1957</v>
          </cell>
          <cell r="F52">
            <v>67.2</v>
          </cell>
          <cell r="H52">
            <v>77.5</v>
          </cell>
          <cell r="I52">
            <v>10</v>
          </cell>
          <cell r="J52">
            <v>72.7</v>
          </cell>
          <cell r="L52">
            <v>132.80000000000001</v>
          </cell>
        </row>
        <row r="53">
          <cell r="A53">
            <v>1956</v>
          </cell>
          <cell r="F53">
            <v>138.30000000000001</v>
          </cell>
          <cell r="H53">
            <v>88</v>
          </cell>
          <cell r="I53">
            <v>9</v>
          </cell>
          <cell r="J53">
            <v>63.8</v>
          </cell>
          <cell r="L53">
            <v>61.8</v>
          </cell>
        </row>
        <row r="54">
          <cell r="A54">
            <v>1955</v>
          </cell>
          <cell r="F54">
            <v>74.2</v>
          </cell>
          <cell r="H54">
            <v>89.3</v>
          </cell>
          <cell r="I54">
            <v>9</v>
          </cell>
          <cell r="J54">
            <v>51.7</v>
          </cell>
          <cell r="L54">
            <v>112.5</v>
          </cell>
        </row>
        <row r="55">
          <cell r="A55">
            <v>1954</v>
          </cell>
          <cell r="F55">
            <v>60.7</v>
          </cell>
          <cell r="H55">
            <v>58.8</v>
          </cell>
          <cell r="I55">
            <v>7</v>
          </cell>
          <cell r="J55">
            <v>61.7</v>
          </cell>
          <cell r="L55">
            <v>112.5</v>
          </cell>
        </row>
        <row r="56">
          <cell r="A56">
            <v>1953</v>
          </cell>
          <cell r="F56">
            <v>53.5</v>
          </cell>
          <cell r="J56">
            <v>35.5</v>
          </cell>
          <cell r="L56">
            <v>55</v>
          </cell>
        </row>
        <row r="57">
          <cell r="A57">
            <v>1952</v>
          </cell>
          <cell r="F57">
            <v>41.2</v>
          </cell>
          <cell r="L57">
            <v>78.900000000000006</v>
          </cell>
        </row>
        <row r="58">
          <cell r="A58">
            <v>1951</v>
          </cell>
          <cell r="F58">
            <v>54</v>
          </cell>
          <cell r="L58">
            <v>68</v>
          </cell>
        </row>
        <row r="59">
          <cell r="A59">
            <v>1950</v>
          </cell>
          <cell r="F59">
            <v>50.3</v>
          </cell>
          <cell r="L59">
            <v>80.099999999999994</v>
          </cell>
        </row>
        <row r="60">
          <cell r="A60" t="str">
            <v>N-Yıl</v>
          </cell>
          <cell r="B60">
            <v>26</v>
          </cell>
          <cell r="D60">
            <v>29</v>
          </cell>
          <cell r="F60">
            <v>74</v>
          </cell>
          <cell r="H60">
            <v>31</v>
          </cell>
          <cell r="J60">
            <v>28</v>
          </cell>
          <cell r="L60">
            <v>51</v>
          </cell>
          <cell r="N60">
            <v>14</v>
          </cell>
        </row>
        <row r="61">
          <cell r="A61" t="str">
            <v>UDF</v>
          </cell>
          <cell r="B61" t="str">
            <v>G2P</v>
          </cell>
          <cell r="D61" t="str">
            <v>G2P</v>
          </cell>
          <cell r="F61" t="str">
            <v>LN3</v>
          </cell>
          <cell r="H61" t="str">
            <v>LP3</v>
          </cell>
          <cell r="J61" t="str">
            <v>LN3</v>
          </cell>
          <cell r="L61" t="str">
            <v>G</v>
          </cell>
          <cell r="N61" t="str">
            <v>G2P</v>
          </cell>
        </row>
        <row r="62">
          <cell r="A62" t="str">
            <v>P-2</v>
          </cell>
          <cell r="B62">
            <v>42.82</v>
          </cell>
          <cell r="D62">
            <v>37.61</v>
          </cell>
          <cell r="F62">
            <v>64.150000000000006</v>
          </cell>
          <cell r="H62">
            <v>71.11</v>
          </cell>
          <cell r="J62">
            <v>53.25</v>
          </cell>
          <cell r="L62">
            <v>72.069999999999993</v>
          </cell>
          <cell r="N62">
            <v>29.63</v>
          </cell>
        </row>
        <row r="63">
          <cell r="A63" t="str">
            <v>P-5</v>
          </cell>
          <cell r="B63">
            <v>52.5</v>
          </cell>
          <cell r="D63">
            <v>53.9</v>
          </cell>
          <cell r="F63">
            <v>86.12</v>
          </cell>
          <cell r="H63">
            <v>89.41</v>
          </cell>
          <cell r="J63">
            <v>72.010000000000005</v>
          </cell>
          <cell r="L63">
            <v>118.85</v>
          </cell>
          <cell r="N63">
            <v>49.23</v>
          </cell>
        </row>
        <row r="64">
          <cell r="A64" t="str">
            <v>P-10</v>
          </cell>
          <cell r="B64">
            <v>59.09</v>
          </cell>
          <cell r="D64">
            <v>65.23</v>
          </cell>
          <cell r="F64">
            <v>101.92</v>
          </cell>
          <cell r="H64">
            <v>102.96</v>
          </cell>
          <cell r="J64">
            <v>86.13</v>
          </cell>
          <cell r="L64">
            <v>149.81</v>
          </cell>
          <cell r="N64">
            <v>68.66</v>
          </cell>
        </row>
        <row r="65">
          <cell r="A65" t="str">
            <v>P-25</v>
          </cell>
          <cell r="B65">
            <v>67.42</v>
          </cell>
          <cell r="D65">
            <v>79.73</v>
          </cell>
          <cell r="F65">
            <v>123.15</v>
          </cell>
          <cell r="H65">
            <v>121.71</v>
          </cell>
          <cell r="J65">
            <v>105.77</v>
          </cell>
          <cell r="L65">
            <v>188.94</v>
          </cell>
          <cell r="N65">
            <v>98.48</v>
          </cell>
        </row>
        <row r="66">
          <cell r="A66" t="str">
            <v>P-50</v>
          </cell>
          <cell r="B66">
            <v>73.56</v>
          </cell>
          <cell r="D66">
            <v>90.5</v>
          </cell>
          <cell r="F66">
            <v>139.76</v>
          </cell>
          <cell r="H66">
            <v>136.93</v>
          </cell>
          <cell r="J66">
            <v>121.58</v>
          </cell>
          <cell r="L66">
            <v>217.97</v>
          </cell>
          <cell r="N66">
            <v>123.46</v>
          </cell>
        </row>
        <row r="67">
          <cell r="A67" t="str">
            <v>P-100</v>
          </cell>
          <cell r="B67">
            <v>79.62</v>
          </cell>
          <cell r="D67">
            <v>101.21</v>
          </cell>
          <cell r="F67">
            <v>157.06</v>
          </cell>
          <cell r="H67">
            <v>153.21</v>
          </cell>
          <cell r="J67">
            <v>138.4</v>
          </cell>
          <cell r="L67">
            <v>246.78</v>
          </cell>
          <cell r="N67">
            <v>150.29</v>
          </cell>
        </row>
      </sheetData>
      <sheetData sheetId="71" refreshError="1"/>
      <sheetData sheetId="72" refreshError="1"/>
      <sheetData sheetId="73" refreshError="1"/>
      <sheetData sheetId="74" refreshError="1"/>
      <sheetData sheetId="75" refreshError="1"/>
      <sheetData sheetId="76" refreshError="1"/>
      <sheetData sheetId="77"/>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sıl"/>
      <sheetName val="Dataset1"/>
      <sheetName val="Dataset2"/>
      <sheetName val="DatasetCombo"/>
      <sheetName val="Linear"/>
      <sheetName val="Logaritmic"/>
      <sheetName val="Power"/>
      <sheetName val="Exponential"/>
      <sheetName val="PL2 Polynomial"/>
      <sheetName val="PL3 Polynomial"/>
      <sheetName val="Completed"/>
      <sheetName val="Formatlı Tablo"/>
    </sheetNames>
    <sheetDataSet>
      <sheetData sheetId="0" refreshError="1"/>
      <sheetData sheetId="1">
        <row r="1">
          <cell r="A1" t="str">
            <v>12-021 Nolu Günlük Akımlar (m³/s)</v>
          </cell>
        </row>
      </sheetData>
      <sheetData sheetId="2">
        <row r="1">
          <cell r="A1" t="str">
            <v>12-057 Nolu Günlük Akımlar (m³/s)</v>
          </cell>
        </row>
      </sheetData>
      <sheetData sheetId="3">
        <row r="2">
          <cell r="S2">
            <v>-19.562711187248624</v>
          </cell>
          <cell r="Y2">
            <v>455.40683041557202</v>
          </cell>
          <cell r="AE2">
            <v>1.4895815683629059</v>
          </cell>
          <cell r="AK2">
            <v>101.91430928752277</v>
          </cell>
          <cell r="AQ2">
            <v>1.806808757010006E-4</v>
          </cell>
          <cell r="AW2">
            <v>-1.8246664978361475E-6</v>
          </cell>
        </row>
        <row r="3">
          <cell r="S3">
            <v>1.4759153876708411</v>
          </cell>
          <cell r="Y3">
            <v>-2116.5983398741964</v>
          </cell>
          <cell r="AE3">
            <v>0.98912195040803708</v>
          </cell>
          <cell r="AK3">
            <v>4.7723448840095032E-3</v>
          </cell>
          <cell r="AQ3">
            <v>1.3228992751841018</v>
          </cell>
          <cell r="AW3">
            <v>2.557940208920736E-3</v>
          </cell>
        </row>
        <row r="4">
          <cell r="AQ4">
            <v>6.1073198531007264</v>
          </cell>
          <cell r="AW4">
            <v>0.44463914027896256</v>
          </cell>
        </row>
        <row r="5">
          <cell r="AW5">
            <v>96.188200523274375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KAL DÖN.YAP.İŞL.İTİNERERİ"/>
      <sheetName val="TIRMANMA ŞERİTLERİ"/>
      <sheetName val="HAKEDİŞLER"/>
      <sheetName val="İŞ PROĞRAMI"/>
      <sheetName val="DOSYA KAP. YAZILARI"/>
      <sheetName val="TİP ENKESİT"/>
      <sheetName val="NUMUNE KARTI"/>
      <sheetName val="BETON BAS.DAY.FORMU"/>
      <sheetName val="ARAZİ  PUANTAJI"/>
      <sheetName val="KUTU MEF 2"/>
      <sheetName val="TES.İŞ.KÜBJ.İCMALİ"/>
      <sheetName val="fazla ödeme"/>
      <sheetName val="Fotoğraf Km.si"/>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rivasyon"/>
      <sheetName val="Basınçlı+serbest"/>
      <sheetName val="Derivasy.deşarj graf."/>
      <sheetName val="DİPSAVAK"/>
      <sheetName val="Sulamaya deşarj"/>
      <sheetName val="Dere deşarj"/>
      <sheetName val="KELEBEK"/>
      <sheetName val="KONDÜVİ"/>
      <sheetName val="KEŞİF"/>
      <sheetName val="Optimizasyon"/>
      <sheetName val="BİRİM_FİYATLAR"/>
    </sheetNames>
    <sheetDataSet>
      <sheetData sheetId="0">
        <row r="3">
          <cell r="C3">
            <v>100</v>
          </cell>
        </row>
      </sheetData>
      <sheetData sheetId="1"/>
      <sheetData sheetId="2" refreshError="1"/>
      <sheetData sheetId="3"/>
      <sheetData sheetId="4" refreshError="1"/>
      <sheetData sheetId="5" refreshError="1"/>
      <sheetData sheetId="6"/>
      <sheetData sheetId="7"/>
      <sheetData sheetId="8"/>
      <sheetData sheetId="9"/>
      <sheetData sheetId="1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fen_hes (2)"/>
      <sheetName val="tefen_hes"/>
      <sheetName val="bartın-hes"/>
      <sheetName val="bartın-hes (2)"/>
    </sheetNames>
    <sheetDataSet>
      <sheetData sheetId="0"/>
      <sheetData sheetId="1"/>
      <sheetData sheetId="2"/>
      <sheetData sheetId="3"/>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fen_hes (2)"/>
      <sheetName val="tefen_hes"/>
      <sheetName val="bartın-hes"/>
      <sheetName val="bartın-hes (2)"/>
      <sheetName val="Çatören B. İşl. Çal."/>
    </sheetNames>
    <sheetDataSet>
      <sheetData sheetId="0"/>
      <sheetData sheetId="1"/>
      <sheetData sheetId="2"/>
      <sheetData sheetId="3"/>
      <sheetData sheetId="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LLANIM"/>
      <sheetName val="Bilgi"/>
      <sheetName val="Giriş Hidrografı"/>
      <sheetName val="Hacim-Satıh"/>
      <sheetName val="DeşarjEğrisi"/>
      <sheetName val="Ho Hesabı"/>
      <sheetName val="Sheet1"/>
      <sheetName val="Routing"/>
      <sheetName val="Taşkın Öteleme"/>
      <sheetName val="Co Hesabı"/>
      <sheetName val="Çatören B. İşl. Çal."/>
      <sheetName val="4-21 İLE 4-58 AKIMLARI"/>
    </sheetNames>
    <sheetDataSet>
      <sheetData sheetId="0"/>
      <sheetData sheetId="1"/>
      <sheetData sheetId="2"/>
      <sheetData sheetId="3"/>
      <sheetData sheetId="4" refreshError="1"/>
      <sheetData sheetId="5"/>
      <sheetData sheetId="6">
        <row r="2">
          <cell r="G2">
            <v>1</v>
          </cell>
          <cell r="H2">
            <v>0</v>
          </cell>
          <cell r="J2">
            <v>7</v>
          </cell>
        </row>
        <row r="3">
          <cell r="G3">
            <v>2</v>
          </cell>
          <cell r="H3">
            <v>0.5</v>
          </cell>
          <cell r="J3">
            <v>8.2350542700800524</v>
          </cell>
        </row>
        <row r="4">
          <cell r="G4">
            <v>3</v>
          </cell>
          <cell r="H4">
            <v>1</v>
          </cell>
          <cell r="J4">
            <v>13.171268631325546</v>
          </cell>
        </row>
        <row r="5">
          <cell r="G5">
            <v>4</v>
          </cell>
          <cell r="H5">
            <v>1.5</v>
          </cell>
          <cell r="J5">
            <v>20.165462029473936</v>
          </cell>
        </row>
        <row r="6">
          <cell r="G6">
            <v>5</v>
          </cell>
          <cell r="H6">
            <v>2</v>
          </cell>
          <cell r="J6">
            <v>30.036556512273357</v>
          </cell>
        </row>
        <row r="7">
          <cell r="G7">
            <v>6</v>
          </cell>
          <cell r="H7">
            <v>2.5</v>
          </cell>
          <cell r="J7">
            <v>43.348645619827181</v>
          </cell>
        </row>
        <row r="8">
          <cell r="G8">
            <v>7</v>
          </cell>
          <cell r="H8">
            <v>3</v>
          </cell>
          <cell r="J8">
            <v>61.222762819471846</v>
          </cell>
        </row>
        <row r="9">
          <cell r="G9">
            <v>8</v>
          </cell>
          <cell r="H9">
            <v>3.5</v>
          </cell>
          <cell r="J9">
            <v>80.725792058226176</v>
          </cell>
        </row>
        <row r="10">
          <cell r="G10">
            <v>9</v>
          </cell>
          <cell r="H10">
            <v>4</v>
          </cell>
          <cell r="J10">
            <v>98.407768987100468</v>
          </cell>
        </row>
        <row r="11">
          <cell r="G11">
            <v>10</v>
          </cell>
          <cell r="H11">
            <v>4.5</v>
          </cell>
          <cell r="J11">
            <v>115.57854375293989</v>
          </cell>
        </row>
        <row r="12">
          <cell r="G12">
            <v>11</v>
          </cell>
          <cell r="H12">
            <v>5</v>
          </cell>
          <cell r="J12">
            <v>132.46366316921387</v>
          </cell>
        </row>
        <row r="13">
          <cell r="G13">
            <v>12</v>
          </cell>
          <cell r="H13">
            <v>5.5</v>
          </cell>
          <cell r="J13">
            <v>146.64567145649573</v>
          </cell>
        </row>
        <row r="14">
          <cell r="G14">
            <v>13</v>
          </cell>
          <cell r="H14">
            <v>6</v>
          </cell>
          <cell r="J14">
            <v>156.27292980783258</v>
          </cell>
        </row>
        <row r="15">
          <cell r="G15">
            <v>14</v>
          </cell>
          <cell r="H15">
            <v>6.5</v>
          </cell>
          <cell r="J15">
            <v>163.87684598784114</v>
          </cell>
        </row>
        <row r="16">
          <cell r="G16">
            <v>15</v>
          </cell>
          <cell r="H16">
            <v>7</v>
          </cell>
          <cell r="J16">
            <v>170.19849401931182</v>
          </cell>
        </row>
        <row r="17">
          <cell r="G17">
            <v>16</v>
          </cell>
          <cell r="H17">
            <v>7.5</v>
          </cell>
          <cell r="J17">
            <v>174.2</v>
          </cell>
        </row>
        <row r="18">
          <cell r="G18">
            <v>17</v>
          </cell>
          <cell r="H18">
            <v>8</v>
          </cell>
          <cell r="J18">
            <v>173.30044065167843</v>
          </cell>
        </row>
        <row r="19">
          <cell r="G19">
            <v>18</v>
          </cell>
          <cell r="H19">
            <v>8.5</v>
          </cell>
          <cell r="J19">
            <v>172.76018273643959</v>
          </cell>
        </row>
        <row r="20">
          <cell r="G20">
            <v>19</v>
          </cell>
          <cell r="H20">
            <v>9</v>
          </cell>
          <cell r="J20">
            <v>170.73143518577564</v>
          </cell>
        </row>
        <row r="21">
          <cell r="G21">
            <v>20</v>
          </cell>
          <cell r="H21">
            <v>9.5</v>
          </cell>
          <cell r="J21">
            <v>168.16789364400142</v>
          </cell>
        </row>
        <row r="22">
          <cell r="G22">
            <v>21</v>
          </cell>
          <cell r="H22">
            <v>10</v>
          </cell>
          <cell r="J22">
            <v>161.83880952488133</v>
          </cell>
        </row>
        <row r="23">
          <cell r="G23">
            <v>22</v>
          </cell>
          <cell r="H23">
            <v>10.5</v>
          </cell>
          <cell r="J23">
            <v>156.72516895458958</v>
          </cell>
        </row>
        <row r="24">
          <cell r="G24">
            <v>23</v>
          </cell>
          <cell r="H24">
            <v>11</v>
          </cell>
          <cell r="J24">
            <v>150.77767094385672</v>
          </cell>
        </row>
        <row r="25">
          <cell r="G25">
            <v>24</v>
          </cell>
          <cell r="H25">
            <v>11.5</v>
          </cell>
          <cell r="J25">
            <v>145.61022321298299</v>
          </cell>
        </row>
        <row r="26">
          <cell r="G26">
            <v>25</v>
          </cell>
          <cell r="H26">
            <v>12</v>
          </cell>
          <cell r="J26">
            <v>137.925064215964</v>
          </cell>
        </row>
        <row r="27">
          <cell r="G27">
            <v>26</v>
          </cell>
          <cell r="H27">
            <v>12.5</v>
          </cell>
          <cell r="J27">
            <v>131.78462271628672</v>
          </cell>
        </row>
        <row r="28">
          <cell r="G28">
            <v>27</v>
          </cell>
          <cell r="H28">
            <v>13</v>
          </cell>
          <cell r="J28">
            <v>124.45596075783347</v>
          </cell>
        </row>
        <row r="29">
          <cell r="G29">
            <v>28</v>
          </cell>
          <cell r="H29">
            <v>13.5</v>
          </cell>
          <cell r="J29">
            <v>118.26335268113279</v>
          </cell>
        </row>
        <row r="30">
          <cell r="G30">
            <v>29</v>
          </cell>
          <cell r="H30">
            <v>14</v>
          </cell>
          <cell r="J30">
            <v>109.61186231500363</v>
          </cell>
        </row>
        <row r="31">
          <cell r="G31">
            <v>30</v>
          </cell>
          <cell r="H31">
            <v>14.5</v>
          </cell>
          <cell r="J31">
            <v>101.84751692128573</v>
          </cell>
        </row>
        <row r="32">
          <cell r="G32">
            <v>31</v>
          </cell>
          <cell r="H32">
            <v>15</v>
          </cell>
          <cell r="J32">
            <v>92.763046862634766</v>
          </cell>
        </row>
        <row r="33">
          <cell r="G33">
            <v>32</v>
          </cell>
          <cell r="H33">
            <v>15.5</v>
          </cell>
          <cell r="J33">
            <v>84.70155662381039</v>
          </cell>
        </row>
        <row r="34">
          <cell r="G34">
            <v>33</v>
          </cell>
          <cell r="H34">
            <v>16</v>
          </cell>
          <cell r="J34">
            <v>75.547425242917072</v>
          </cell>
        </row>
        <row r="35">
          <cell r="G35">
            <v>34</v>
          </cell>
          <cell r="H35">
            <v>16.5</v>
          </cell>
          <cell r="J35">
            <v>67.634172127894999</v>
          </cell>
        </row>
        <row r="36">
          <cell r="G36">
            <v>35</v>
          </cell>
          <cell r="H36">
            <v>17</v>
          </cell>
          <cell r="J36">
            <v>59.534438254915457</v>
          </cell>
        </row>
        <row r="37">
          <cell r="G37">
            <v>36</v>
          </cell>
          <cell r="H37">
            <v>17.5</v>
          </cell>
          <cell r="J37">
            <v>53.030811145673532</v>
          </cell>
        </row>
        <row r="38">
          <cell r="G38">
            <v>37</v>
          </cell>
          <cell r="H38">
            <v>18</v>
          </cell>
          <cell r="J38">
            <v>46.682911405673778</v>
          </cell>
        </row>
        <row r="39">
          <cell r="G39">
            <v>38</v>
          </cell>
          <cell r="H39">
            <v>18.5</v>
          </cell>
          <cell r="J39">
            <v>41.679776921668129</v>
          </cell>
        </row>
        <row r="40">
          <cell r="G40">
            <v>39</v>
          </cell>
          <cell r="H40">
            <v>19</v>
          </cell>
          <cell r="J40">
            <v>36.70623935767221</v>
          </cell>
        </row>
        <row r="41">
          <cell r="G41">
            <v>40</v>
          </cell>
          <cell r="H41">
            <v>19.5</v>
          </cell>
          <cell r="J41">
            <v>32.947848239041733</v>
          </cell>
        </row>
        <row r="42">
          <cell r="G42">
            <v>41</v>
          </cell>
          <cell r="H42">
            <v>20</v>
          </cell>
          <cell r="J42">
            <v>29.482315829799255</v>
          </cell>
        </row>
        <row r="43">
          <cell r="G43">
            <v>42</v>
          </cell>
          <cell r="H43">
            <v>20.5</v>
          </cell>
          <cell r="J43">
            <v>26.67490198017142</v>
          </cell>
        </row>
        <row r="44">
          <cell r="G44">
            <v>43</v>
          </cell>
          <cell r="H44">
            <v>21</v>
          </cell>
          <cell r="J44">
            <v>23.887115532538949</v>
          </cell>
        </row>
        <row r="45">
          <cell r="G45">
            <v>44</v>
          </cell>
          <cell r="H45">
            <v>21.5</v>
          </cell>
          <cell r="J45">
            <v>21.677964948226595</v>
          </cell>
        </row>
        <row r="46">
          <cell r="G46">
            <v>45</v>
          </cell>
          <cell r="H46">
            <v>22</v>
          </cell>
          <cell r="J46">
            <v>19.711884493083438</v>
          </cell>
        </row>
        <row r="47">
          <cell r="G47">
            <v>46</v>
          </cell>
          <cell r="H47">
            <v>22.5</v>
          </cell>
          <cell r="J47">
            <v>18.08908773118635</v>
          </cell>
        </row>
        <row r="48">
          <cell r="G48">
            <v>47</v>
          </cell>
          <cell r="H48">
            <v>23</v>
          </cell>
          <cell r="J48">
            <v>16.540454163133177</v>
          </cell>
        </row>
        <row r="49">
          <cell r="G49">
            <v>48</v>
          </cell>
          <cell r="H49">
            <v>23.5</v>
          </cell>
          <cell r="J49">
            <v>15.283042863732813</v>
          </cell>
        </row>
        <row r="50">
          <cell r="G50">
            <v>49</v>
          </cell>
          <cell r="H50">
            <v>24</v>
          </cell>
          <cell r="J50">
            <v>14.183555671732005</v>
          </cell>
        </row>
        <row r="51">
          <cell r="G51">
            <v>50</v>
          </cell>
          <cell r="H51" t="str">
            <v/>
          </cell>
          <cell r="J51" t="str">
            <v/>
          </cell>
        </row>
        <row r="52">
          <cell r="G52">
            <v>51</v>
          </cell>
          <cell r="H52" t="str">
            <v/>
          </cell>
          <cell r="J52" t="str">
            <v/>
          </cell>
        </row>
        <row r="53">
          <cell r="G53">
            <v>52</v>
          </cell>
          <cell r="H53" t="str">
            <v/>
          </cell>
          <cell r="J53" t="str">
            <v/>
          </cell>
        </row>
        <row r="54">
          <cell r="G54">
            <v>53</v>
          </cell>
          <cell r="H54" t="str">
            <v/>
          </cell>
          <cell r="J54" t="str">
            <v/>
          </cell>
        </row>
        <row r="55">
          <cell r="G55">
            <v>54</v>
          </cell>
          <cell r="H55" t="str">
            <v/>
          </cell>
          <cell r="J55" t="str">
            <v/>
          </cell>
        </row>
        <row r="56">
          <cell r="G56">
            <v>55</v>
          </cell>
          <cell r="H56" t="str">
            <v/>
          </cell>
          <cell r="J56" t="str">
            <v/>
          </cell>
        </row>
        <row r="57">
          <cell r="G57">
            <v>56</v>
          </cell>
          <cell r="H57" t="str">
            <v/>
          </cell>
          <cell r="J57" t="str">
            <v/>
          </cell>
        </row>
        <row r="58">
          <cell r="G58">
            <v>57</v>
          </cell>
          <cell r="H58" t="str">
            <v/>
          </cell>
          <cell r="J58" t="str">
            <v/>
          </cell>
        </row>
        <row r="59">
          <cell r="G59">
            <v>58</v>
          </cell>
          <cell r="H59" t="str">
            <v/>
          </cell>
          <cell r="J59" t="str">
            <v/>
          </cell>
        </row>
        <row r="60">
          <cell r="G60">
            <v>59</v>
          </cell>
          <cell r="H60" t="str">
            <v/>
          </cell>
          <cell r="J60" t="str">
            <v/>
          </cell>
        </row>
        <row r="61">
          <cell r="G61">
            <v>60</v>
          </cell>
          <cell r="H61" t="str">
            <v/>
          </cell>
          <cell r="J61" t="str">
            <v/>
          </cell>
        </row>
        <row r="62">
          <cell r="G62">
            <v>61</v>
          </cell>
          <cell r="H62" t="str">
            <v/>
          </cell>
          <cell r="J62" t="str">
            <v/>
          </cell>
        </row>
        <row r="63">
          <cell r="G63">
            <v>62</v>
          </cell>
          <cell r="H63" t="str">
            <v/>
          </cell>
          <cell r="J63" t="str">
            <v/>
          </cell>
        </row>
        <row r="64">
          <cell r="G64">
            <v>63</v>
          </cell>
          <cell r="H64" t="str">
            <v/>
          </cell>
          <cell r="J64" t="str">
            <v/>
          </cell>
        </row>
        <row r="65">
          <cell r="G65">
            <v>64</v>
          </cell>
          <cell r="H65" t="str">
            <v/>
          </cell>
          <cell r="J65" t="str">
            <v/>
          </cell>
        </row>
        <row r="66">
          <cell r="G66">
            <v>65</v>
          </cell>
          <cell r="H66" t="str">
            <v/>
          </cell>
          <cell r="J66" t="str">
            <v/>
          </cell>
        </row>
        <row r="67">
          <cell r="G67">
            <v>66</v>
          </cell>
          <cell r="H67" t="str">
            <v/>
          </cell>
          <cell r="J67" t="str">
            <v/>
          </cell>
        </row>
        <row r="68">
          <cell r="G68">
            <v>67</v>
          </cell>
          <cell r="H68" t="str">
            <v/>
          </cell>
          <cell r="J68" t="str">
            <v/>
          </cell>
        </row>
        <row r="69">
          <cell r="G69">
            <v>68</v>
          </cell>
          <cell r="H69" t="str">
            <v/>
          </cell>
          <cell r="J69" t="str">
            <v/>
          </cell>
        </row>
        <row r="70">
          <cell r="G70">
            <v>69</v>
          </cell>
          <cell r="H70" t="str">
            <v/>
          </cell>
          <cell r="J70" t="str">
            <v/>
          </cell>
        </row>
        <row r="71">
          <cell r="G71">
            <v>70</v>
          </cell>
          <cell r="H71" t="str">
            <v/>
          </cell>
          <cell r="J71" t="str">
            <v/>
          </cell>
        </row>
        <row r="72">
          <cell r="G72">
            <v>71</v>
          </cell>
          <cell r="H72" t="str">
            <v/>
          </cell>
          <cell r="J72" t="str">
            <v/>
          </cell>
        </row>
        <row r="73">
          <cell r="G73">
            <v>72</v>
          </cell>
          <cell r="H73" t="str">
            <v/>
          </cell>
          <cell r="J73" t="str">
            <v/>
          </cell>
        </row>
        <row r="74">
          <cell r="G74">
            <v>73</v>
          </cell>
          <cell r="H74" t="str">
            <v/>
          </cell>
          <cell r="J74" t="str">
            <v/>
          </cell>
        </row>
        <row r="75">
          <cell r="G75">
            <v>74</v>
          </cell>
          <cell r="H75" t="str">
            <v/>
          </cell>
          <cell r="J75" t="str">
            <v/>
          </cell>
        </row>
        <row r="76">
          <cell r="G76">
            <v>75</v>
          </cell>
          <cell r="H76" t="str">
            <v/>
          </cell>
          <cell r="J76" t="str">
            <v/>
          </cell>
        </row>
        <row r="77">
          <cell r="G77">
            <v>76</v>
          </cell>
          <cell r="H77" t="str">
            <v/>
          </cell>
          <cell r="J77" t="str">
            <v/>
          </cell>
        </row>
        <row r="78">
          <cell r="G78">
            <v>77</v>
          </cell>
          <cell r="H78" t="str">
            <v/>
          </cell>
          <cell r="J78" t="str">
            <v/>
          </cell>
        </row>
        <row r="79">
          <cell r="G79">
            <v>78</v>
          </cell>
          <cell r="H79" t="str">
            <v/>
          </cell>
          <cell r="J79" t="str">
            <v/>
          </cell>
        </row>
        <row r="80">
          <cell r="G80">
            <v>79</v>
          </cell>
          <cell r="H80" t="str">
            <v/>
          </cell>
          <cell r="J80" t="str">
            <v/>
          </cell>
        </row>
        <row r="81">
          <cell r="G81">
            <v>80</v>
          </cell>
          <cell r="H81" t="str">
            <v/>
          </cell>
          <cell r="J81" t="str">
            <v/>
          </cell>
        </row>
        <row r="82">
          <cell r="G82">
            <v>81</v>
          </cell>
          <cell r="H82" t="str">
            <v/>
          </cell>
          <cell r="J82" t="str">
            <v/>
          </cell>
        </row>
        <row r="83">
          <cell r="G83">
            <v>82</v>
          </cell>
          <cell r="H83" t="str">
            <v/>
          </cell>
          <cell r="J83" t="str">
            <v/>
          </cell>
        </row>
        <row r="84">
          <cell r="G84">
            <v>83</v>
          </cell>
          <cell r="H84" t="str">
            <v/>
          </cell>
          <cell r="J84" t="str">
            <v/>
          </cell>
        </row>
        <row r="85">
          <cell r="G85">
            <v>84</v>
          </cell>
          <cell r="H85" t="str">
            <v/>
          </cell>
          <cell r="J85" t="str">
            <v/>
          </cell>
        </row>
        <row r="86">
          <cell r="G86">
            <v>85</v>
          </cell>
          <cell r="H86" t="str">
            <v/>
          </cell>
          <cell r="J86" t="str">
            <v/>
          </cell>
        </row>
        <row r="87">
          <cell r="G87">
            <v>86</v>
          </cell>
          <cell r="H87" t="str">
            <v/>
          </cell>
          <cell r="J87" t="str">
            <v/>
          </cell>
        </row>
        <row r="88">
          <cell r="G88">
            <v>87</v>
          </cell>
          <cell r="H88" t="str">
            <v/>
          </cell>
          <cell r="J88" t="str">
            <v/>
          </cell>
        </row>
        <row r="89">
          <cell r="G89">
            <v>88</v>
          </cell>
          <cell r="H89" t="str">
            <v/>
          </cell>
          <cell r="J89" t="str">
            <v/>
          </cell>
        </row>
        <row r="90">
          <cell r="G90">
            <v>89</v>
          </cell>
          <cell r="H90" t="str">
            <v/>
          </cell>
          <cell r="J90" t="str">
            <v/>
          </cell>
        </row>
        <row r="91">
          <cell r="G91">
            <v>90</v>
          </cell>
          <cell r="H91" t="str">
            <v/>
          </cell>
          <cell r="J91" t="str">
            <v/>
          </cell>
        </row>
        <row r="92">
          <cell r="G92">
            <v>91</v>
          </cell>
          <cell r="H92" t="str">
            <v/>
          </cell>
          <cell r="J92" t="str">
            <v/>
          </cell>
        </row>
        <row r="93">
          <cell r="G93">
            <v>92</v>
          </cell>
          <cell r="H93" t="str">
            <v/>
          </cell>
          <cell r="J93" t="str">
            <v/>
          </cell>
        </row>
        <row r="94">
          <cell r="G94">
            <v>93</v>
          </cell>
          <cell r="H94" t="str">
            <v/>
          </cell>
          <cell r="J94" t="str">
            <v/>
          </cell>
        </row>
        <row r="95">
          <cell r="G95">
            <v>94</v>
          </cell>
          <cell r="H95" t="str">
            <v/>
          </cell>
          <cell r="J95" t="str">
            <v/>
          </cell>
        </row>
        <row r="96">
          <cell r="G96">
            <v>95</v>
          </cell>
          <cell r="H96" t="str">
            <v/>
          </cell>
          <cell r="J96" t="str">
            <v/>
          </cell>
        </row>
        <row r="97">
          <cell r="G97">
            <v>96</v>
          </cell>
          <cell r="H97" t="str">
            <v/>
          </cell>
          <cell r="J97" t="str">
            <v/>
          </cell>
        </row>
        <row r="98">
          <cell r="G98">
            <v>97</v>
          </cell>
          <cell r="H98" t="str">
            <v/>
          </cell>
          <cell r="J98" t="str">
            <v/>
          </cell>
        </row>
        <row r="99">
          <cell r="G99">
            <v>98</v>
          </cell>
          <cell r="H99" t="str">
            <v/>
          </cell>
          <cell r="J99" t="str">
            <v/>
          </cell>
        </row>
        <row r="100">
          <cell r="G100">
            <v>99</v>
          </cell>
          <cell r="H100" t="str">
            <v/>
          </cell>
          <cell r="J100" t="str">
            <v/>
          </cell>
        </row>
        <row r="101">
          <cell r="G101">
            <v>100</v>
          </cell>
          <cell r="H101" t="str">
            <v/>
          </cell>
          <cell r="J101" t="str">
            <v/>
          </cell>
        </row>
        <row r="102">
          <cell r="G102">
            <v>101</v>
          </cell>
          <cell r="H102" t="str">
            <v/>
          </cell>
          <cell r="J102" t="str">
            <v/>
          </cell>
        </row>
        <row r="103">
          <cell r="G103">
            <v>102</v>
          </cell>
          <cell r="H103" t="str">
            <v/>
          </cell>
          <cell r="J103" t="str">
            <v/>
          </cell>
        </row>
        <row r="104">
          <cell r="G104">
            <v>103</v>
          </cell>
          <cell r="H104" t="str">
            <v/>
          </cell>
          <cell r="J104" t="str">
            <v/>
          </cell>
        </row>
        <row r="105">
          <cell r="G105">
            <v>104</v>
          </cell>
          <cell r="H105" t="str">
            <v/>
          </cell>
          <cell r="J105" t="str">
            <v/>
          </cell>
        </row>
        <row r="106">
          <cell r="G106">
            <v>105</v>
          </cell>
          <cell r="H106" t="str">
            <v/>
          </cell>
          <cell r="J106" t="str">
            <v/>
          </cell>
        </row>
        <row r="107">
          <cell r="G107">
            <v>106</v>
          </cell>
          <cell r="H107" t="str">
            <v/>
          </cell>
          <cell r="J107" t="str">
            <v/>
          </cell>
        </row>
        <row r="108">
          <cell r="G108">
            <v>107</v>
          </cell>
          <cell r="H108" t="str">
            <v/>
          </cell>
          <cell r="J108" t="str">
            <v/>
          </cell>
        </row>
        <row r="109">
          <cell r="G109">
            <v>108</v>
          </cell>
          <cell r="H109" t="str">
            <v/>
          </cell>
          <cell r="J109" t="str">
            <v/>
          </cell>
        </row>
        <row r="110">
          <cell r="G110">
            <v>109</v>
          </cell>
          <cell r="H110" t="str">
            <v/>
          </cell>
          <cell r="J110" t="str">
            <v/>
          </cell>
        </row>
        <row r="111">
          <cell r="G111">
            <v>110</v>
          </cell>
          <cell r="H111" t="str">
            <v/>
          </cell>
          <cell r="J111" t="str">
            <v/>
          </cell>
        </row>
        <row r="112">
          <cell r="G112">
            <v>111</v>
          </cell>
          <cell r="H112" t="str">
            <v/>
          </cell>
          <cell r="J112" t="str">
            <v/>
          </cell>
        </row>
        <row r="113">
          <cell r="G113">
            <v>112</v>
          </cell>
          <cell r="H113" t="str">
            <v/>
          </cell>
          <cell r="J113" t="str">
            <v/>
          </cell>
        </row>
        <row r="114">
          <cell r="G114">
            <v>113</v>
          </cell>
          <cell r="H114" t="str">
            <v/>
          </cell>
          <cell r="J114" t="str">
            <v/>
          </cell>
        </row>
        <row r="115">
          <cell r="G115">
            <v>114</v>
          </cell>
          <cell r="H115" t="str">
            <v/>
          </cell>
          <cell r="J115" t="str">
            <v/>
          </cell>
        </row>
        <row r="116">
          <cell r="G116">
            <v>115</v>
          </cell>
          <cell r="H116" t="str">
            <v/>
          </cell>
          <cell r="J116" t="str">
            <v/>
          </cell>
        </row>
        <row r="117">
          <cell r="G117">
            <v>116</v>
          </cell>
          <cell r="H117" t="str">
            <v/>
          </cell>
          <cell r="J117" t="str">
            <v/>
          </cell>
        </row>
        <row r="118">
          <cell r="G118">
            <v>117</v>
          </cell>
          <cell r="H118" t="str">
            <v/>
          </cell>
          <cell r="J118" t="str">
            <v/>
          </cell>
        </row>
        <row r="119">
          <cell r="G119">
            <v>118</v>
          </cell>
          <cell r="H119" t="str">
            <v/>
          </cell>
          <cell r="J119" t="str">
            <v/>
          </cell>
        </row>
        <row r="120">
          <cell r="G120">
            <v>119</v>
          </cell>
          <cell r="H120" t="str">
            <v/>
          </cell>
          <cell r="J120" t="str">
            <v/>
          </cell>
        </row>
        <row r="121">
          <cell r="G121">
            <v>120</v>
          </cell>
          <cell r="H121" t="str">
            <v/>
          </cell>
          <cell r="J121" t="str">
            <v/>
          </cell>
        </row>
        <row r="122">
          <cell r="G122">
            <v>121</v>
          </cell>
          <cell r="H122" t="str">
            <v/>
          </cell>
          <cell r="J122" t="str">
            <v/>
          </cell>
        </row>
        <row r="123">
          <cell r="G123">
            <v>122</v>
          </cell>
          <cell r="H123" t="str">
            <v/>
          </cell>
          <cell r="J123" t="str">
            <v/>
          </cell>
        </row>
        <row r="124">
          <cell r="G124">
            <v>123</v>
          </cell>
          <cell r="H124" t="str">
            <v/>
          </cell>
          <cell r="J124" t="str">
            <v/>
          </cell>
        </row>
        <row r="125">
          <cell r="G125">
            <v>124</v>
          </cell>
          <cell r="H125" t="str">
            <v/>
          </cell>
          <cell r="J125" t="str">
            <v/>
          </cell>
        </row>
        <row r="126">
          <cell r="G126">
            <v>125</v>
          </cell>
          <cell r="H126" t="str">
            <v/>
          </cell>
          <cell r="J126" t="str">
            <v/>
          </cell>
        </row>
        <row r="127">
          <cell r="G127">
            <v>126</v>
          </cell>
          <cell r="H127" t="str">
            <v/>
          </cell>
          <cell r="J127" t="str">
            <v/>
          </cell>
        </row>
        <row r="128">
          <cell r="G128">
            <v>127</v>
          </cell>
          <cell r="H128" t="str">
            <v/>
          </cell>
          <cell r="J128" t="str">
            <v/>
          </cell>
        </row>
        <row r="129">
          <cell r="G129">
            <v>128</v>
          </cell>
          <cell r="H129" t="str">
            <v/>
          </cell>
          <cell r="J129" t="str">
            <v/>
          </cell>
        </row>
        <row r="130">
          <cell r="G130">
            <v>129</v>
          </cell>
          <cell r="H130" t="str">
            <v/>
          </cell>
          <cell r="J130" t="str">
            <v/>
          </cell>
        </row>
        <row r="131">
          <cell r="G131">
            <v>130</v>
          </cell>
          <cell r="H131" t="str">
            <v/>
          </cell>
          <cell r="J131" t="str">
            <v/>
          </cell>
        </row>
        <row r="132">
          <cell r="G132">
            <v>131</v>
          </cell>
          <cell r="H132" t="str">
            <v/>
          </cell>
          <cell r="J132" t="str">
            <v/>
          </cell>
        </row>
        <row r="133">
          <cell r="G133">
            <v>132</v>
          </cell>
          <cell r="H133" t="str">
            <v/>
          </cell>
          <cell r="J133" t="str">
            <v/>
          </cell>
        </row>
        <row r="134">
          <cell r="G134">
            <v>133</v>
          </cell>
          <cell r="H134" t="str">
            <v/>
          </cell>
          <cell r="J134" t="str">
            <v/>
          </cell>
        </row>
        <row r="135">
          <cell r="G135">
            <v>134</v>
          </cell>
          <cell r="H135" t="str">
            <v/>
          </cell>
          <cell r="J135" t="str">
            <v/>
          </cell>
        </row>
        <row r="136">
          <cell r="G136">
            <v>135</v>
          </cell>
          <cell r="H136" t="str">
            <v/>
          </cell>
          <cell r="J136" t="str">
            <v/>
          </cell>
        </row>
        <row r="137">
          <cell r="G137">
            <v>136</v>
          </cell>
          <cell r="H137" t="str">
            <v/>
          </cell>
          <cell r="J137" t="str">
            <v/>
          </cell>
        </row>
        <row r="138">
          <cell r="G138">
            <v>137</v>
          </cell>
          <cell r="H138" t="str">
            <v/>
          </cell>
          <cell r="J138" t="str">
            <v/>
          </cell>
        </row>
        <row r="139">
          <cell r="G139">
            <v>138</v>
          </cell>
          <cell r="H139" t="str">
            <v/>
          </cell>
          <cell r="J139" t="str">
            <v/>
          </cell>
        </row>
        <row r="140">
          <cell r="G140">
            <v>139</v>
          </cell>
          <cell r="H140" t="str">
            <v/>
          </cell>
          <cell r="J140" t="str">
            <v/>
          </cell>
        </row>
        <row r="141">
          <cell r="G141">
            <v>140</v>
          </cell>
          <cell r="H141" t="str">
            <v/>
          </cell>
          <cell r="J141" t="str">
            <v/>
          </cell>
        </row>
        <row r="142">
          <cell r="G142">
            <v>141</v>
          </cell>
          <cell r="H142" t="str">
            <v/>
          </cell>
          <cell r="J142" t="str">
            <v/>
          </cell>
        </row>
        <row r="143">
          <cell r="G143">
            <v>142</v>
          </cell>
          <cell r="H143" t="str">
            <v/>
          </cell>
          <cell r="J143" t="str">
            <v/>
          </cell>
        </row>
        <row r="144">
          <cell r="G144">
            <v>143</v>
          </cell>
          <cell r="H144" t="str">
            <v/>
          </cell>
          <cell r="J144" t="str">
            <v/>
          </cell>
        </row>
        <row r="145">
          <cell r="G145">
            <v>144</v>
          </cell>
          <cell r="H145" t="str">
            <v/>
          </cell>
          <cell r="J145" t="str">
            <v/>
          </cell>
        </row>
        <row r="146">
          <cell r="G146">
            <v>145</v>
          </cell>
          <cell r="H146" t="str">
            <v/>
          </cell>
          <cell r="J146" t="str">
            <v/>
          </cell>
        </row>
        <row r="147">
          <cell r="G147">
            <v>146</v>
          </cell>
          <cell r="H147" t="str">
            <v/>
          </cell>
          <cell r="J147" t="str">
            <v/>
          </cell>
        </row>
        <row r="148">
          <cell r="G148">
            <v>147</v>
          </cell>
          <cell r="H148" t="str">
            <v/>
          </cell>
          <cell r="J148" t="str">
            <v/>
          </cell>
        </row>
      </sheetData>
      <sheetData sheetId="7"/>
      <sheetData sheetId="8" refreshError="1"/>
      <sheetData sheetId="9"/>
      <sheetData sheetId="10" refreshError="1"/>
      <sheetData sheetId="1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fen_hes (2)"/>
      <sheetName val="tefen_hes"/>
      <sheetName val="bartın-hes"/>
      <sheetName val="bartın-hes (2)"/>
    </sheetNames>
    <sheetDataSet>
      <sheetData sheetId="0"/>
      <sheetData sheetId="1"/>
      <sheetData sheetId="2"/>
      <sheetData sheetId="3"/>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RİŞ ve KULLANIM"/>
      <sheetName val="HESAP"/>
      <sheetName val="KAH"/>
      <sheetName val="Buharlasma"/>
      <sheetName val="ALTERNATİFLER TABLOSU"/>
      <sheetName val="Tablo Format BASKI"/>
      <sheetName val="alt1"/>
      <sheetName val="alt2"/>
    </sheetNames>
    <sheetDataSet>
      <sheetData sheetId="0" refreshError="1"/>
      <sheetData sheetId="1" refreshError="1"/>
      <sheetData sheetId="2" refreshError="1">
        <row r="4">
          <cell r="B4">
            <v>1306</v>
          </cell>
          <cell r="D4">
            <v>0</v>
          </cell>
        </row>
        <row r="5">
          <cell r="B5">
            <v>1315</v>
          </cell>
          <cell r="D5">
            <v>90.99</v>
          </cell>
        </row>
        <row r="6">
          <cell r="B6">
            <v>1316</v>
          </cell>
          <cell r="D6">
            <v>174.17500000000001</v>
          </cell>
        </row>
        <row r="7">
          <cell r="B7">
            <v>1317</v>
          </cell>
          <cell r="D7">
            <v>419.8</v>
          </cell>
        </row>
        <row r="8">
          <cell r="B8">
            <v>1318</v>
          </cell>
          <cell r="D8">
            <v>900.64499999999998</v>
          </cell>
        </row>
        <row r="9">
          <cell r="B9">
            <v>1319</v>
          </cell>
          <cell r="D9">
            <v>1770.1</v>
          </cell>
        </row>
        <row r="10">
          <cell r="B10">
            <v>1320</v>
          </cell>
          <cell r="D10">
            <v>3086.585</v>
          </cell>
        </row>
        <row r="11">
          <cell r="B11">
            <v>1321</v>
          </cell>
          <cell r="D11">
            <v>4823.74</v>
          </cell>
        </row>
        <row r="12">
          <cell r="B12">
            <v>1322</v>
          </cell>
          <cell r="D12">
            <v>7048.82</v>
          </cell>
        </row>
        <row r="13">
          <cell r="B13">
            <v>1323</v>
          </cell>
          <cell r="D13">
            <v>9847.5750000000007</v>
          </cell>
        </row>
        <row r="14">
          <cell r="B14">
            <v>1324</v>
          </cell>
          <cell r="D14">
            <v>13309.54</v>
          </cell>
        </row>
        <row r="15">
          <cell r="B15">
            <v>1325</v>
          </cell>
          <cell r="D15">
            <v>17502.39</v>
          </cell>
        </row>
        <row r="16">
          <cell r="B16">
            <v>1326</v>
          </cell>
          <cell r="D16">
            <v>22486.525000000001</v>
          </cell>
        </row>
        <row r="17">
          <cell r="B17">
            <v>1327</v>
          </cell>
          <cell r="D17">
            <v>28338.090000000004</v>
          </cell>
        </row>
        <row r="18">
          <cell r="B18">
            <v>1328</v>
          </cell>
          <cell r="D18">
            <v>35136.600000000006</v>
          </cell>
        </row>
        <row r="19">
          <cell r="B19">
            <v>1329</v>
          </cell>
          <cell r="D19">
            <v>42957.885000000009</v>
          </cell>
        </row>
        <row r="20">
          <cell r="B20">
            <v>1330</v>
          </cell>
          <cell r="D20">
            <v>51926.005000000005</v>
          </cell>
        </row>
        <row r="21">
          <cell r="B21">
            <v>1331</v>
          </cell>
          <cell r="D21">
            <v>62176.565000000002</v>
          </cell>
        </row>
        <row r="22">
          <cell r="B22">
            <v>1332</v>
          </cell>
          <cell r="D22">
            <v>73783.785000000003</v>
          </cell>
        </row>
        <row r="23">
          <cell r="B23">
            <v>1333</v>
          </cell>
          <cell r="D23">
            <v>86812.950000000012</v>
          </cell>
        </row>
        <row r="24">
          <cell r="B24">
            <v>1334</v>
          </cell>
          <cell r="D24">
            <v>101371.06000000001</v>
          </cell>
        </row>
        <row r="25">
          <cell r="B25">
            <v>1335</v>
          </cell>
          <cell r="D25">
            <v>117522.1</v>
          </cell>
        </row>
        <row r="26">
          <cell r="B26">
            <v>1336</v>
          </cell>
          <cell r="D26">
            <v>135279.535</v>
          </cell>
        </row>
        <row r="27">
          <cell r="B27">
            <v>1337</v>
          </cell>
          <cell r="D27">
            <v>154680.32000000001</v>
          </cell>
        </row>
        <row r="28">
          <cell r="B28">
            <v>1338</v>
          </cell>
          <cell r="D28">
            <v>175770.02000000002</v>
          </cell>
        </row>
        <row r="29">
          <cell r="B29">
            <v>1339</v>
          </cell>
          <cell r="D29">
            <v>198594.89</v>
          </cell>
        </row>
        <row r="30">
          <cell r="B30">
            <v>1340</v>
          </cell>
          <cell r="D30">
            <v>223243.36500000002</v>
          </cell>
        </row>
        <row r="31">
          <cell r="B31">
            <v>1341</v>
          </cell>
          <cell r="D31">
            <v>249881.18500000003</v>
          </cell>
        </row>
        <row r="32">
          <cell r="B32">
            <v>1350</v>
          </cell>
          <cell r="D32">
            <v>591960.55690000008</v>
          </cell>
        </row>
        <row r="33">
          <cell r="B33">
            <v>1355</v>
          </cell>
          <cell r="D33">
            <v>861723.34715000005</v>
          </cell>
        </row>
        <row r="34">
          <cell r="B34">
            <v>1360</v>
          </cell>
          <cell r="D34">
            <v>1187535.9169000001</v>
          </cell>
        </row>
      </sheetData>
      <sheetData sheetId="3" refreshError="1"/>
      <sheetData sheetId="4" refreshError="1"/>
      <sheetData sheetId="5" refreshError="1"/>
      <sheetData sheetId="6" refreshError="1"/>
      <sheetData sheetId="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FARKI HESABI"/>
      <sheetName val="FF_07"/>
      <sheetName val="FF_08"/>
      <sheetName val="FF_09"/>
      <sheetName val="FF_10"/>
      <sheetName val="IsPrg"/>
      <sheetName val="RevIsPrg"/>
      <sheetName val="Muk.Keşif"/>
      <sheetName val="PMT nakli"/>
      <sheetName val="ATem.Nakli"/>
      <sheetName val="GENEL BILGI"/>
      <sheetName val="Metraj İcmali (Yeşil Defter)"/>
      <sheetName val="Yapılan İşler Listesi (b)"/>
      <sheetName val="RevFiyTutanak"/>
      <sheetName val="RevFiyat"/>
      <sheetName val="FiyatAnalizi"/>
      <sheetName val="YeniFiyatTut"/>
      <sheetName val="Ilan"/>
      <sheetName val="KesifArtisOluru"/>
      <sheetName val="SureUzatimOluru"/>
      <sheetName val="KesifArtisTutanagi"/>
      <sheetName val="YesilDefterKapak"/>
      <sheetName val="IseBasTut"/>
      <sheetName val="IsyeriTesTut"/>
      <sheetName val="Kutu Menfez Imalat Mik.Cetveli"/>
      <sheetName val="Hakediş Raporu Kapağı"/>
      <sheetName val="İsci Ucret Alacakları Tutanagi"/>
      <sheetName val="Imalat Tutanagi"/>
      <sheetName val="Dizi Pusulası"/>
      <sheetName val="Ağırlık Oran. Tem. Kat."/>
      <sheetName val="Fiyat Farkı Hesap Tablosu"/>
      <sheetName val="İhzarat  Tespit Tutanağı"/>
      <sheetName val="Ödenek Dilimleri ve İş Prg. (a)"/>
      <sheetName val="Ödenek Dilimleri ve İş Prg. (b)"/>
      <sheetName val="Yapılan İşler Listesi (a)"/>
      <sheetName val="Hakediş Özeti"/>
      <sheetName val="İcmal"/>
      <sheetName val="Hakediş Raporu Son Sayf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5">
          <cell r="C5" t="str">
            <v>Uşak-Banaz-Afyon Yolu Üstyapı Onarımları için Agrega Temini ve Nakli ile PMT Yapılması</v>
          </cell>
        </row>
        <row r="9">
          <cell r="C9" t="str">
            <v>Beyhim İnş.Taah.San.ve Tic.Ltd.Şti.</v>
          </cell>
        </row>
        <row r="10">
          <cell r="C10">
            <v>728098693600</v>
          </cell>
        </row>
        <row r="24">
          <cell r="C24" t="str">
            <v>5 (SON)</v>
          </cell>
        </row>
        <row r="25">
          <cell r="C25">
            <v>38282</v>
          </cell>
        </row>
        <row r="28">
          <cell r="C28" t="str">
            <v>Mehmet DEMİRPOLAT</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k Rap.Üst"/>
      <sheetName val="Hak.Rap."/>
      <sheetName val="Hak.İcm."/>
      <sheetName val="Hak.Özet"/>
      <sheetName val="FiyFar.Hes.Tab."/>
      <sheetName val="yap.işler lis."/>
      <sheetName val="Yeşil.Defter.Kapak"/>
      <sheetName val="Figüre tut."/>
      <sheetName val=" metraj icmali"/>
      <sheetName val="Ağ.Or.Tem.Kat"/>
      <sheetName val="İlan"/>
      <sheetName val="İşçi Al. Tut."/>
      <sheetName val="Mek. İti."/>
      <sheetName val="Nakl.hes"/>
      <sheetName val="Sayfa1"/>
      <sheetName val="Sayfa2"/>
    </sheetNames>
    <sheetDataSet>
      <sheetData sheetId="0" refreshError="1"/>
      <sheetData sheetId="1" refreshError="1"/>
      <sheetData sheetId="2" refreshError="1"/>
      <sheetData sheetId="3" refreshError="1"/>
      <sheetData sheetId="4" refreshError="1"/>
      <sheetData sheetId="5" refreshError="1"/>
      <sheetData sheetId="6" refreshError="1">
        <row r="7">
          <cell r="H7">
            <v>5</v>
          </cell>
        </row>
        <row r="22">
          <cell r="F22">
            <v>38282</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KAL DÖN.YAP.İŞL.İTİNERERİ"/>
      <sheetName val="TIRMANMA ŞERİTLERİ"/>
      <sheetName val="HAKEDİŞLER"/>
      <sheetName val="İŞ PROĞRAMI"/>
      <sheetName val="DOSYA KAP. YAZILARI"/>
      <sheetName val="TİP ENKESİT"/>
      <sheetName val="NUMUNE KARTI"/>
      <sheetName val="BETON BAS.DAY.FORMU"/>
      <sheetName val="ARAZİ  PUANTAJI"/>
      <sheetName val="KUTU MEF 2"/>
      <sheetName val="TES.İŞ.KÜBJ.İCMALİ"/>
      <sheetName val="fazla ödeme"/>
      <sheetName val="Fotoğraf Km.si"/>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öpr-icm"/>
      <sheetName val="keyplan"/>
      <sheetName val="kapak"/>
      <sheetName val="hakrap"/>
      <sheetName val="dizpus"/>
      <sheetName val="dpusydsiz"/>
      <sheetName val="ödcet"/>
      <sheetName val="icmal"/>
      <sheetName val="ydiç"/>
      <sheetName val="yapisler"/>
      <sheetName val="öddil"/>
      <sheetName val="mali"/>
      <sheetName val="isçi"/>
      <sheetName val="fficmali"/>
      <sheetName val="kurusaka"/>
      <sheetName val="miktaraka"/>
      <sheetName val="kümakami"/>
      <sheetName val="aka-mik-tut"/>
      <sheetName val="çimfifark"/>
      <sheetName val="çzamtut"/>
      <sheetName val="çbünyetut"/>
      <sheetName val="çmiktar"/>
      <sheetName val="mik-tut (Çim)"/>
      <sheetName val="elekt(çim)"/>
      <sheetName val="fatçim"/>
      <sheetName val="çimicmal "/>
      <sheetName val="kumicmal"/>
      <sheetName val="fifark(dem)"/>
      <sheetName val="zamtut(dem)"/>
      <sheetName val="bünyetut(dem)"/>
      <sheetName val="dmiktar"/>
      <sheetName val="mik-tut (Dem)"/>
      <sheetName val="fat(dem)"/>
      <sheetName val="köprü-dem"/>
      <sheetName val="fifark(PVC)"/>
      <sheetName val="zamtut (PVC)"/>
      <sheetName val="bünyetut (PVC)"/>
      <sheetName val="miktar (PVC)"/>
      <sheetName val="mik-tut (PVC) "/>
      <sheetName val="fifark(bitüm)"/>
      <sheetName val="zamtut (bit)"/>
      <sheetName val="bünyetut (bit)"/>
      <sheetName val="miktar (bit)"/>
      <sheetName val="fatura (bit)"/>
      <sheetName val="bitüm-mik-tut"/>
      <sheetName val="emülsiyon icmal"/>
      <sheetName val="fifark (çinko)"/>
      <sheetName val="zamtut (çinko)"/>
      <sheetName val="bünyetut (çinko)"/>
      <sheetName val="mik-tut (çinko)  "/>
      <sheetName val="fifark (saç) "/>
      <sheetName val="zamtut (saç)"/>
      <sheetName val="bünyetut (saç) "/>
      <sheetName val="miktar (saç)"/>
      <sheetName val="mik-tut (sac) "/>
      <sheetName val="fifark(AL)"/>
      <sheetName val="zamtut (AL)"/>
      <sheetName val="bünyetut (AL)"/>
      <sheetName val="miktar (AL)"/>
      <sheetName val="mik-tut (AL)"/>
      <sheetName val="fatura (AL)"/>
      <sheetName val="fifark(önger)"/>
      <sheetName val="miktar(önger)"/>
      <sheetName val="Elek-ffark"/>
      <sheetName val="ihzatut(agr)"/>
      <sheetName val="ihzatut (elek)"/>
      <sheetName val="ihzatut (dem)"/>
      <sheetName val="K-kroki-tut"/>
      <sheetName val="K kroki"/>
      <sheetName val="kroki(üst-agr)"/>
      <sheetName val="toprak-icm"/>
      <sheetName val="Bost-Küb"/>
      <sheetName val="san-icm"/>
      <sheetName val="sanatmetra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sera CIKTI"/>
      <sheetName val="tarla CIKTI"/>
      <sheetName val="Tablo -1"/>
      <sheetName val="Tablo-2-3"/>
      <sheetName val="Tablo-2-3 (2)"/>
      <sheetName val="Tablo -4 "/>
      <sheetName val="Sayfa3"/>
      <sheetName val="T-5 PAL-ÇAV-OVA SULAMA"/>
      <sheetName val="Tablo3.44"/>
      <sheetName val="Tablo3.45"/>
      <sheetName val="Tablo3.46"/>
      <sheetName val="Tablo3.37"/>
      <sheetName val="Tablo 3.36"/>
      <sheetName val="Tablo3.42"/>
      <sheetName val="Tablo3.43"/>
      <sheetName val="Tablo 3.3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sera CIKTI"/>
      <sheetName val="tarla CIKTI"/>
      <sheetName val="Tablo -1"/>
      <sheetName val="Tablo-2-3"/>
      <sheetName val="Tablo-2-3 (2)"/>
      <sheetName val="Tablo -4 "/>
      <sheetName val="Sayfa3"/>
      <sheetName val="T-5 PAL-ÇAV-OVA SULAMA"/>
      <sheetName val="Tablo3.44"/>
      <sheetName val="Tablo3.45"/>
      <sheetName val="Tablo3.46"/>
      <sheetName val="Tablo3.37"/>
      <sheetName val="Tablo 3.36"/>
      <sheetName val="Tablo3.42"/>
      <sheetName val="Tablo3.43"/>
      <sheetName val="Tablo 3.3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sera CIKTI"/>
      <sheetName val="tarla CIKTI"/>
      <sheetName val="Tablo -1"/>
      <sheetName val="Tablo-2-3"/>
      <sheetName val="Tablo-2-3 (2)"/>
      <sheetName val="Tablo -4 "/>
      <sheetName val="Sayfa3"/>
      <sheetName val="T-5 PAL-ÇAV-OVA SULAMA"/>
      <sheetName val="Tablo3.44"/>
      <sheetName val="Tablo3.45"/>
      <sheetName val="Tablo3.46"/>
      <sheetName val="Tablo3.37"/>
      <sheetName val="Tablo 3.36"/>
      <sheetName val="Tablo3.42"/>
      <sheetName val="Tablo3.43"/>
      <sheetName val="Tablo 3.3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Şekil 4.1"/>
      <sheetName val="Şekil 4.2-3"/>
      <sheetName val="Tablo 4.1 4.2"/>
      <sheetName val="Tablo 4.3"/>
      <sheetName val="Tablo 4.4"/>
      <sheetName val="Tablo 4.5"/>
      <sheetName val="Tablo 4.6"/>
      <sheetName val="Tablo 4.8"/>
      <sheetName val="Tablo 4.9"/>
      <sheetName val="Tablo 4.10"/>
      <sheetName val="Tablo 4.11"/>
      <sheetName val="Tablo 4.12"/>
      <sheetName val="Tablo 4.13"/>
      <sheetName val="Tablo 4.14"/>
      <sheetName val="Tablo 4.15-1"/>
      <sheetName val="Tablo 4.15-2"/>
      <sheetName val="Tablo 4.15-3"/>
      <sheetName val="Tablo 4.15-4"/>
      <sheetName val="Tablo 4.15-5"/>
      <sheetName val="Tablo 4.15-6"/>
      <sheetName val="Tablo 4.15-7"/>
      <sheetName val="Tablo 4.15-8"/>
      <sheetName val="Tablo 4.15-9"/>
      <sheetName val="Tablo 4.15-10"/>
      <sheetName val="Tablo 4.15-11"/>
      <sheetName val="Tablo 4.15-12"/>
      <sheetName val="Tablo 4.15-13"/>
      <sheetName val="Tablo 4.15-14"/>
      <sheetName val="Tablo 4.15-15"/>
      <sheetName val="Tablo 4.15-16"/>
      <sheetName val="Tablo 4.15-17"/>
      <sheetName val="Tablo 4.15-18"/>
      <sheetName val="Tablo 4.15-19"/>
      <sheetName val="Tablo 4.15-20"/>
      <sheetName val="Tablo 4.15-21"/>
      <sheetName val="Tablo 4.15-22"/>
      <sheetName val="Tablo 4.15-23"/>
      <sheetName val="Tablo 4.15-24"/>
      <sheetName val="Tablo 4.15-25"/>
      <sheetName val="Tablo 4.15-26"/>
      <sheetName val="Tablo 4.15-27"/>
      <sheetName val="Tablo 4.15-28"/>
      <sheetName val="Tablo 4.15-29"/>
      <sheetName val="Tablo 4.15-30"/>
      <sheetName val="Tablo 4.15-31"/>
      <sheetName val="Tablo 4.15-32"/>
      <sheetName val="Tablo 4.15-33"/>
      <sheetName val="Tablo 4.15-34"/>
      <sheetName val="Tablo 4.15-35"/>
      <sheetName val="Tablo 4.15-36"/>
      <sheetName val="Tablo 4.15-37"/>
      <sheetName val="Tablo 4.15-38"/>
      <sheetName val="Tablo 4.15-39"/>
      <sheetName val="Tablo 4.15-40"/>
      <sheetName val="Tablo 4.15-41"/>
      <sheetName val="Tablo 4.16"/>
      <sheetName val="Tablo 4.17"/>
      <sheetName val="Tablo 4.18"/>
      <sheetName val="Tablo 4.19"/>
      <sheetName val="Tablo 4.19 (ham)"/>
      <sheetName val="Tablo 4.21"/>
      <sheetName val="Tablo 4.22"/>
      <sheetName val="Tablo 4.23"/>
      <sheetName val="Tablo 4.24"/>
      <sheetName val="Tablo 4.25"/>
      <sheetName val="Tablo 4.26"/>
      <sheetName val="Tablo 4.27"/>
      <sheetName val="Şekil 4.4"/>
      <sheetName val="Şekil 4.5"/>
      <sheetName val="Tablo 4.30"/>
      <sheetName val="Tablo 4.31"/>
      <sheetName val="Tablo 4.32"/>
      <sheetName val="Tablo 4.33"/>
      <sheetName val="Tablo 4.34"/>
      <sheetName val="Tablo 4.35"/>
      <sheetName val="Tablo 4.36"/>
      <sheetName val="Şekil 4.6"/>
      <sheetName val="Tablo 4_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row r="1">
          <cell r="A1" t="str">
            <v>Tablo 4.31</v>
          </cell>
          <cell r="C1" t="str">
            <v>Proje Sahası İçi ve Çevresindeki Yağış Gözlem</v>
          </cell>
        </row>
        <row r="2">
          <cell r="C2" t="str">
            <v>İstasyonlarının Yılda Günlük Maksimum Yağış Değerleri (mm)</v>
          </cell>
        </row>
        <row r="3">
          <cell r="A3" t="str">
            <v>Adı</v>
          </cell>
          <cell r="B3" t="str">
            <v>YAVUZKEMAL</v>
          </cell>
          <cell r="D3" t="str">
            <v>TAMDERE</v>
          </cell>
          <cell r="F3" t="str">
            <v>GİRESUN</v>
          </cell>
          <cell r="H3" t="str">
            <v>KEŞAP</v>
          </cell>
          <cell r="J3" t="str">
            <v>BULANCAK</v>
          </cell>
          <cell r="L3" t="str">
            <v>TİREBOLU</v>
          </cell>
          <cell r="N3" t="str">
            <v>MERYEMANA</v>
          </cell>
        </row>
        <row r="4">
          <cell r="A4" t="str">
            <v>Kot</v>
          </cell>
          <cell r="B4">
            <v>1625</v>
          </cell>
          <cell r="D4">
            <v>1700</v>
          </cell>
          <cell r="F4">
            <v>38</v>
          </cell>
          <cell r="H4">
            <v>30</v>
          </cell>
          <cell r="J4">
            <v>10</v>
          </cell>
          <cell r="L4">
            <v>10</v>
          </cell>
          <cell r="N4">
            <v>1100</v>
          </cell>
        </row>
        <row r="5">
          <cell r="A5" t="str">
            <v>Kur</v>
          </cell>
          <cell r="B5" t="str">
            <v>DMİ</v>
          </cell>
          <cell r="D5" t="str">
            <v>DSİ</v>
          </cell>
          <cell r="F5" t="str">
            <v>DMİ</v>
          </cell>
          <cell r="H5" t="str">
            <v>DMİ</v>
          </cell>
          <cell r="J5" t="str">
            <v>DMİ</v>
          </cell>
          <cell r="L5" t="str">
            <v>DMİ</v>
          </cell>
          <cell r="N5" t="str">
            <v>DMİ</v>
          </cell>
        </row>
        <row r="6">
          <cell r="A6" t="str">
            <v>Yıl</v>
          </cell>
          <cell r="B6" t="str">
            <v>Yeb</v>
          </cell>
          <cell r="C6" t="str">
            <v>g-ay</v>
          </cell>
          <cell r="D6" t="str">
            <v>Yeb</v>
          </cell>
          <cell r="E6" t="str">
            <v>g-ay</v>
          </cell>
          <cell r="F6" t="str">
            <v>Yeb</v>
          </cell>
          <cell r="G6" t="str">
            <v>g-ay</v>
          </cell>
          <cell r="H6" t="str">
            <v>Yeb</v>
          </cell>
          <cell r="I6" t="str">
            <v>g-ay</v>
          </cell>
          <cell r="J6" t="str">
            <v>Yeb</v>
          </cell>
          <cell r="K6" t="str">
            <v>g-ay</v>
          </cell>
          <cell r="L6" t="str">
            <v>Yeb</v>
          </cell>
          <cell r="M6" t="str">
            <v>g-ay</v>
          </cell>
          <cell r="N6" t="str">
            <v>Yeb</v>
          </cell>
          <cell r="O6" t="str">
            <v>g-ay</v>
          </cell>
        </row>
        <row r="7">
          <cell r="A7">
            <v>2002</v>
          </cell>
          <cell r="F7">
            <v>72.599999999999994</v>
          </cell>
        </row>
        <row r="8">
          <cell r="A8">
            <v>2001</v>
          </cell>
          <cell r="F8">
            <v>68</v>
          </cell>
        </row>
        <row r="9">
          <cell r="A9">
            <v>2000</v>
          </cell>
          <cell r="F9">
            <v>68.400000000000006</v>
          </cell>
          <cell r="L9">
            <v>42.5</v>
          </cell>
          <cell r="M9">
            <v>1</v>
          </cell>
        </row>
        <row r="10">
          <cell r="A10">
            <v>1999</v>
          </cell>
          <cell r="F10">
            <v>69.8</v>
          </cell>
          <cell r="L10">
            <v>92.4</v>
          </cell>
          <cell r="M10">
            <v>9</v>
          </cell>
        </row>
        <row r="11">
          <cell r="A11">
            <v>1998</v>
          </cell>
          <cell r="F11">
            <v>62.2</v>
          </cell>
          <cell r="L11">
            <v>108.9</v>
          </cell>
          <cell r="M11">
            <v>12</v>
          </cell>
        </row>
        <row r="12">
          <cell r="A12">
            <v>1997</v>
          </cell>
          <cell r="F12">
            <v>50.4</v>
          </cell>
          <cell r="L12">
            <v>71.2</v>
          </cell>
          <cell r="M12">
            <v>7</v>
          </cell>
        </row>
        <row r="13">
          <cell r="A13">
            <v>1996</v>
          </cell>
          <cell r="F13">
            <v>75.400000000000006</v>
          </cell>
          <cell r="L13">
            <v>59.7</v>
          </cell>
          <cell r="M13">
            <v>10</v>
          </cell>
        </row>
        <row r="14">
          <cell r="A14">
            <v>1995</v>
          </cell>
          <cell r="F14">
            <v>55</v>
          </cell>
          <cell r="L14">
            <v>76.2</v>
          </cell>
          <cell r="M14">
            <v>6</v>
          </cell>
        </row>
        <row r="15">
          <cell r="A15">
            <v>1994</v>
          </cell>
          <cell r="F15">
            <v>70.2</v>
          </cell>
          <cell r="L15">
            <v>82.3</v>
          </cell>
          <cell r="M15">
            <v>10</v>
          </cell>
        </row>
        <row r="16">
          <cell r="A16">
            <v>1993</v>
          </cell>
          <cell r="F16">
            <v>53.1</v>
          </cell>
          <cell r="L16">
            <v>94.4</v>
          </cell>
          <cell r="M16">
            <v>8</v>
          </cell>
        </row>
        <row r="17">
          <cell r="A17">
            <v>1992</v>
          </cell>
          <cell r="F17">
            <v>103.7</v>
          </cell>
          <cell r="L17">
            <v>134.1</v>
          </cell>
          <cell r="M17">
            <v>7</v>
          </cell>
        </row>
        <row r="18">
          <cell r="A18">
            <v>1991</v>
          </cell>
          <cell r="F18">
            <v>72.400000000000006</v>
          </cell>
          <cell r="L18">
            <v>93.5</v>
          </cell>
          <cell r="M18">
            <v>8</v>
          </cell>
        </row>
        <row r="19">
          <cell r="A19">
            <v>1990</v>
          </cell>
          <cell r="F19">
            <v>65.7</v>
          </cell>
          <cell r="L19">
            <v>81.400000000000006</v>
          </cell>
          <cell r="M19">
            <v>6</v>
          </cell>
        </row>
        <row r="20">
          <cell r="A20">
            <v>1989</v>
          </cell>
          <cell r="F20">
            <v>85.8</v>
          </cell>
          <cell r="L20">
            <v>87.6</v>
          </cell>
          <cell r="M20">
            <v>7</v>
          </cell>
        </row>
        <row r="21">
          <cell r="A21">
            <v>1988</v>
          </cell>
          <cell r="F21">
            <v>78.2</v>
          </cell>
          <cell r="L21">
            <v>242.3</v>
          </cell>
          <cell r="M21">
            <v>8</v>
          </cell>
          <cell r="N21">
            <v>40.299999999999997</v>
          </cell>
        </row>
        <row r="22">
          <cell r="A22">
            <v>1987</v>
          </cell>
          <cell r="D22">
            <v>60.4</v>
          </cell>
          <cell r="E22">
            <v>1</v>
          </cell>
          <cell r="F22">
            <v>50.8</v>
          </cell>
          <cell r="H22">
            <v>54.7</v>
          </cell>
          <cell r="I22">
            <v>11</v>
          </cell>
          <cell r="J22">
            <v>40.700000000000003</v>
          </cell>
          <cell r="L22">
            <v>75</v>
          </cell>
          <cell r="M22">
            <v>8</v>
          </cell>
          <cell r="N22">
            <v>42.5</v>
          </cell>
          <cell r="O22">
            <v>1</v>
          </cell>
        </row>
        <row r="23">
          <cell r="A23">
            <v>1986</v>
          </cell>
          <cell r="D23">
            <v>34.5</v>
          </cell>
          <cell r="E23">
            <v>11</v>
          </cell>
          <cell r="F23">
            <v>95.4</v>
          </cell>
          <cell r="H23">
            <v>71.099999999999994</v>
          </cell>
          <cell r="I23">
            <v>11</v>
          </cell>
          <cell r="J23">
            <v>44</v>
          </cell>
          <cell r="L23">
            <v>53.3</v>
          </cell>
          <cell r="M23">
            <v>11</v>
          </cell>
          <cell r="N23">
            <v>32.5</v>
          </cell>
          <cell r="O23">
            <v>1</v>
          </cell>
        </row>
        <row r="24">
          <cell r="A24">
            <v>1985</v>
          </cell>
          <cell r="D24">
            <v>27.2</v>
          </cell>
          <cell r="E24">
            <v>10</v>
          </cell>
          <cell r="F24">
            <v>53.8</v>
          </cell>
          <cell r="J24">
            <v>57.2</v>
          </cell>
          <cell r="L24">
            <v>61.6</v>
          </cell>
          <cell r="M24">
            <v>12</v>
          </cell>
          <cell r="N24">
            <v>47.2</v>
          </cell>
          <cell r="O24">
            <v>6</v>
          </cell>
        </row>
        <row r="25">
          <cell r="A25">
            <v>1984</v>
          </cell>
          <cell r="B25">
            <v>43.1</v>
          </cell>
          <cell r="D25">
            <v>27.8</v>
          </cell>
          <cell r="E25">
            <v>4</v>
          </cell>
          <cell r="F25">
            <v>56.2</v>
          </cell>
          <cell r="L25">
            <v>91</v>
          </cell>
          <cell r="M25">
            <v>10</v>
          </cell>
          <cell r="N25">
            <v>25.8</v>
          </cell>
          <cell r="O25">
            <v>5</v>
          </cell>
        </row>
        <row r="26">
          <cell r="A26">
            <v>1983</v>
          </cell>
          <cell r="B26">
            <v>44.6</v>
          </cell>
          <cell r="D26">
            <v>70.3</v>
          </cell>
          <cell r="E26">
            <v>11</v>
          </cell>
          <cell r="F26">
            <v>53.7</v>
          </cell>
          <cell r="L26">
            <v>86.5</v>
          </cell>
          <cell r="M26">
            <v>7</v>
          </cell>
          <cell r="N26">
            <v>36.200000000000003</v>
          </cell>
          <cell r="O26">
            <v>1</v>
          </cell>
        </row>
        <row r="27">
          <cell r="A27">
            <v>1982</v>
          </cell>
          <cell r="B27">
            <v>38.700000000000003</v>
          </cell>
          <cell r="D27">
            <v>36.700000000000003</v>
          </cell>
          <cell r="E27">
            <v>6</v>
          </cell>
          <cell r="F27">
            <v>50.7</v>
          </cell>
          <cell r="H27">
            <v>66.8</v>
          </cell>
          <cell r="I27">
            <v>10</v>
          </cell>
          <cell r="L27">
            <v>76.8</v>
          </cell>
          <cell r="M27">
            <v>9</v>
          </cell>
          <cell r="N27">
            <v>31</v>
          </cell>
          <cell r="O27">
            <v>7</v>
          </cell>
        </row>
        <row r="28">
          <cell r="A28">
            <v>1981</v>
          </cell>
          <cell r="B28">
            <v>58.7</v>
          </cell>
          <cell r="D28">
            <v>100.8</v>
          </cell>
          <cell r="E28">
            <v>12</v>
          </cell>
          <cell r="F28">
            <v>128.30000000000001</v>
          </cell>
          <cell r="H28">
            <v>108.8</v>
          </cell>
          <cell r="I28">
            <v>10</v>
          </cell>
          <cell r="L28">
            <v>73.7</v>
          </cell>
          <cell r="M28">
            <v>10</v>
          </cell>
          <cell r="N28">
            <v>28</v>
          </cell>
          <cell r="O28">
            <v>10</v>
          </cell>
        </row>
        <row r="29">
          <cell r="A29">
            <v>1980</v>
          </cell>
          <cell r="B29">
            <v>32.700000000000003</v>
          </cell>
          <cell r="D29">
            <v>60.7</v>
          </cell>
          <cell r="E29">
            <v>5</v>
          </cell>
          <cell r="F29">
            <v>47.4</v>
          </cell>
          <cell r="H29">
            <v>57.6</v>
          </cell>
          <cell r="I29">
            <v>6</v>
          </cell>
          <cell r="J29">
            <v>36.799999999999997</v>
          </cell>
          <cell r="L29">
            <v>64.2</v>
          </cell>
          <cell r="M29">
            <v>11</v>
          </cell>
          <cell r="N29">
            <v>31</v>
          </cell>
          <cell r="O29">
            <v>5</v>
          </cell>
        </row>
        <row r="30">
          <cell r="A30">
            <v>1979</v>
          </cell>
          <cell r="B30">
            <v>40.799999999999997</v>
          </cell>
          <cell r="D30">
            <v>41.2</v>
          </cell>
          <cell r="E30">
            <v>11</v>
          </cell>
          <cell r="F30">
            <v>72.900000000000006</v>
          </cell>
          <cell r="H30">
            <v>100.7</v>
          </cell>
          <cell r="I30">
            <v>7</v>
          </cell>
          <cell r="J30">
            <v>57.4</v>
          </cell>
          <cell r="L30">
            <v>92.6</v>
          </cell>
          <cell r="M30">
            <v>5</v>
          </cell>
          <cell r="N30">
            <v>37.200000000000003</v>
          </cell>
          <cell r="O30">
            <v>5</v>
          </cell>
        </row>
        <row r="31">
          <cell r="A31">
            <v>1978</v>
          </cell>
          <cell r="B31">
            <v>42.3</v>
          </cell>
          <cell r="D31">
            <v>46.1</v>
          </cell>
          <cell r="E31">
            <v>3</v>
          </cell>
          <cell r="F31">
            <v>34.5</v>
          </cell>
          <cell r="H31">
            <v>69.8</v>
          </cell>
          <cell r="I31">
            <v>6</v>
          </cell>
          <cell r="J31">
            <v>76.3</v>
          </cell>
          <cell r="L31">
            <v>54.3</v>
          </cell>
          <cell r="M31">
            <v>10</v>
          </cell>
          <cell r="N31">
            <v>32.1</v>
          </cell>
          <cell r="O31">
            <v>6</v>
          </cell>
        </row>
        <row r="32">
          <cell r="A32">
            <v>1977</v>
          </cell>
          <cell r="B32">
            <v>43.8</v>
          </cell>
          <cell r="D32">
            <v>41.3</v>
          </cell>
          <cell r="E32">
            <v>5</v>
          </cell>
          <cell r="F32">
            <v>77</v>
          </cell>
          <cell r="H32">
            <v>66.3</v>
          </cell>
          <cell r="I32">
            <v>12</v>
          </cell>
          <cell r="J32">
            <v>70.400000000000006</v>
          </cell>
          <cell r="L32">
            <v>241.3</v>
          </cell>
          <cell r="M32">
            <v>7</v>
          </cell>
          <cell r="N32">
            <v>26.1</v>
          </cell>
          <cell r="O32">
            <v>10</v>
          </cell>
        </row>
        <row r="33">
          <cell r="A33">
            <v>1976</v>
          </cell>
          <cell r="B33">
            <v>43.2</v>
          </cell>
          <cell r="D33">
            <v>26.2</v>
          </cell>
          <cell r="E33">
            <v>6</v>
          </cell>
          <cell r="F33">
            <v>37.5</v>
          </cell>
          <cell r="H33">
            <v>56.2</v>
          </cell>
          <cell r="I33">
            <v>12</v>
          </cell>
          <cell r="J33">
            <v>42.5</v>
          </cell>
          <cell r="L33">
            <v>181.3</v>
          </cell>
          <cell r="M33">
            <v>8</v>
          </cell>
          <cell r="N33">
            <v>130.9</v>
          </cell>
          <cell r="O33">
            <v>5</v>
          </cell>
        </row>
        <row r="34">
          <cell r="A34">
            <v>1975</v>
          </cell>
          <cell r="B34">
            <v>73.2</v>
          </cell>
          <cell r="D34">
            <v>60.5</v>
          </cell>
          <cell r="E34">
            <v>4</v>
          </cell>
          <cell r="F34">
            <v>49.7</v>
          </cell>
          <cell r="H34">
            <v>71.400000000000006</v>
          </cell>
          <cell r="I34">
            <v>9</v>
          </cell>
          <cell r="L34">
            <v>70</v>
          </cell>
          <cell r="M34">
            <v>9</v>
          </cell>
          <cell r="N34">
            <v>25.5</v>
          </cell>
          <cell r="O34">
            <v>10</v>
          </cell>
        </row>
        <row r="35">
          <cell r="A35">
            <v>1974</v>
          </cell>
          <cell r="B35">
            <v>45.7</v>
          </cell>
          <cell r="D35">
            <v>41.7</v>
          </cell>
          <cell r="E35">
            <v>10</v>
          </cell>
          <cell r="F35">
            <v>61.7</v>
          </cell>
          <cell r="H35">
            <v>91.8</v>
          </cell>
          <cell r="I35">
            <v>11</v>
          </cell>
          <cell r="L35">
            <v>31.3</v>
          </cell>
          <cell r="M35">
            <v>8</v>
          </cell>
        </row>
        <row r="36">
          <cell r="A36">
            <v>1973</v>
          </cell>
          <cell r="B36">
            <v>37.6</v>
          </cell>
          <cell r="D36">
            <v>24.5</v>
          </cell>
          <cell r="E36">
            <v>6</v>
          </cell>
          <cell r="F36">
            <v>63.1</v>
          </cell>
          <cell r="H36">
            <v>61.9</v>
          </cell>
          <cell r="I36">
            <v>10</v>
          </cell>
          <cell r="J36">
            <v>52.5</v>
          </cell>
          <cell r="L36">
            <v>8.67</v>
          </cell>
        </row>
        <row r="37">
          <cell r="A37">
            <v>1972</v>
          </cell>
          <cell r="B37">
            <v>54.2</v>
          </cell>
          <cell r="D37">
            <v>56.6</v>
          </cell>
          <cell r="E37">
            <v>10</v>
          </cell>
          <cell r="F37">
            <v>83.8</v>
          </cell>
          <cell r="H37">
            <v>64.8</v>
          </cell>
          <cell r="I37">
            <v>6</v>
          </cell>
          <cell r="J37">
            <v>98.4</v>
          </cell>
          <cell r="L37">
            <v>6.07</v>
          </cell>
        </row>
        <row r="38">
          <cell r="A38">
            <v>1971</v>
          </cell>
          <cell r="B38">
            <v>41.6</v>
          </cell>
          <cell r="D38">
            <v>29.2</v>
          </cell>
          <cell r="E38">
            <v>10</v>
          </cell>
          <cell r="F38">
            <v>55.9</v>
          </cell>
          <cell r="H38">
            <v>66.2</v>
          </cell>
          <cell r="I38">
            <v>11</v>
          </cell>
          <cell r="J38">
            <v>50.6</v>
          </cell>
          <cell r="L38">
            <v>0</v>
          </cell>
        </row>
        <row r="39">
          <cell r="A39">
            <v>1970</v>
          </cell>
          <cell r="B39">
            <v>34.200000000000003</v>
          </cell>
          <cell r="D39">
            <v>45.9</v>
          </cell>
          <cell r="E39">
            <v>11</v>
          </cell>
          <cell r="F39">
            <v>66.8</v>
          </cell>
          <cell r="H39">
            <v>50.2</v>
          </cell>
          <cell r="I39">
            <v>9</v>
          </cell>
          <cell r="J39">
            <v>38.9</v>
          </cell>
          <cell r="L39">
            <v>62</v>
          </cell>
        </row>
        <row r="40">
          <cell r="A40">
            <v>1969</v>
          </cell>
          <cell r="B40">
            <v>32.1</v>
          </cell>
          <cell r="D40">
            <v>23.7</v>
          </cell>
          <cell r="E40">
            <v>11</v>
          </cell>
          <cell r="F40">
            <v>39.799999999999997</v>
          </cell>
          <cell r="H40">
            <v>58.2</v>
          </cell>
          <cell r="I40">
            <v>7</v>
          </cell>
          <cell r="J40">
            <v>63.5</v>
          </cell>
          <cell r="L40">
            <v>92.3</v>
          </cell>
        </row>
        <row r="41">
          <cell r="A41">
            <v>1968</v>
          </cell>
          <cell r="B41">
            <v>33.799999999999997</v>
          </cell>
          <cell r="D41">
            <v>30.5</v>
          </cell>
          <cell r="E41">
            <v>11</v>
          </cell>
          <cell r="F41">
            <v>98</v>
          </cell>
          <cell r="H41">
            <v>86.5</v>
          </cell>
          <cell r="I41">
            <v>10</v>
          </cell>
          <cell r="J41">
            <v>40.6</v>
          </cell>
          <cell r="L41">
            <v>62.2</v>
          </cell>
        </row>
        <row r="42">
          <cell r="A42">
            <v>1967</v>
          </cell>
          <cell r="B42">
            <v>51.3</v>
          </cell>
          <cell r="D42">
            <v>37.6</v>
          </cell>
          <cell r="E42">
            <v>11</v>
          </cell>
          <cell r="F42">
            <v>61.9</v>
          </cell>
          <cell r="H42">
            <v>131.4</v>
          </cell>
          <cell r="I42">
            <v>8</v>
          </cell>
          <cell r="J42">
            <v>76.099999999999994</v>
          </cell>
          <cell r="L42">
            <v>92.5</v>
          </cell>
        </row>
        <row r="43">
          <cell r="A43">
            <v>1966</v>
          </cell>
          <cell r="B43">
            <v>39.799999999999997</v>
          </cell>
          <cell r="D43">
            <v>36.200000000000003</v>
          </cell>
          <cell r="E43">
            <v>11</v>
          </cell>
          <cell r="F43">
            <v>110.5</v>
          </cell>
          <cell r="H43">
            <v>67.8</v>
          </cell>
          <cell r="I43">
            <v>12</v>
          </cell>
          <cell r="L43">
            <v>0</v>
          </cell>
        </row>
        <row r="44">
          <cell r="A44">
            <v>1965</v>
          </cell>
          <cell r="B44">
            <v>72.099999999999994</v>
          </cell>
          <cell r="D44">
            <v>50.5</v>
          </cell>
          <cell r="E44">
            <v>6</v>
          </cell>
          <cell r="F44">
            <v>95.5</v>
          </cell>
          <cell r="H44">
            <v>60.1</v>
          </cell>
          <cell r="I44">
            <v>9</v>
          </cell>
          <cell r="J44">
            <v>63.5</v>
          </cell>
          <cell r="L44">
            <v>82.9</v>
          </cell>
        </row>
        <row r="45">
          <cell r="A45">
            <v>1964</v>
          </cell>
          <cell r="B45">
            <v>51.3</v>
          </cell>
          <cell r="D45">
            <v>24.2</v>
          </cell>
          <cell r="E45">
            <v>3</v>
          </cell>
          <cell r="F45">
            <v>103.2</v>
          </cell>
          <cell r="H45">
            <v>87.7</v>
          </cell>
          <cell r="I45">
            <v>9</v>
          </cell>
          <cell r="J45">
            <v>37.799999999999997</v>
          </cell>
          <cell r="L45">
            <v>78.3</v>
          </cell>
        </row>
        <row r="46">
          <cell r="A46">
            <v>1963</v>
          </cell>
          <cell r="B46">
            <v>42.1</v>
          </cell>
          <cell r="D46">
            <v>28.2</v>
          </cell>
          <cell r="E46">
            <v>1</v>
          </cell>
          <cell r="F46">
            <v>45.9</v>
          </cell>
          <cell r="H46">
            <v>56</v>
          </cell>
          <cell r="I46">
            <v>3</v>
          </cell>
          <cell r="J46">
            <v>41.2</v>
          </cell>
          <cell r="L46">
            <v>78.900000000000006</v>
          </cell>
        </row>
        <row r="47">
          <cell r="A47">
            <v>1962</v>
          </cell>
          <cell r="B47">
            <v>38.299999999999997</v>
          </cell>
          <cell r="D47">
            <v>33.200000000000003</v>
          </cell>
          <cell r="E47">
            <v>12</v>
          </cell>
          <cell r="F47">
            <v>55.3</v>
          </cell>
          <cell r="H47">
            <v>68.900000000000006</v>
          </cell>
          <cell r="I47">
            <v>9</v>
          </cell>
          <cell r="J47">
            <v>144.1</v>
          </cell>
          <cell r="L47">
            <v>64.400000000000006</v>
          </cell>
        </row>
        <row r="48">
          <cell r="A48">
            <v>1961</v>
          </cell>
          <cell r="B48">
            <v>53.2</v>
          </cell>
          <cell r="D48">
            <v>30.1</v>
          </cell>
          <cell r="E48">
            <v>11</v>
          </cell>
          <cell r="F48">
            <v>59.6</v>
          </cell>
          <cell r="H48">
            <v>92.7</v>
          </cell>
          <cell r="I48">
            <v>11</v>
          </cell>
          <cell r="J48">
            <v>62.9</v>
          </cell>
          <cell r="L48">
            <v>10.63</v>
          </cell>
        </row>
        <row r="49">
          <cell r="A49">
            <v>1960</v>
          </cell>
          <cell r="B49">
            <v>49.4</v>
          </cell>
          <cell r="D49">
            <v>62.5</v>
          </cell>
          <cell r="E49">
            <v>6</v>
          </cell>
          <cell r="F49">
            <v>44.5</v>
          </cell>
          <cell r="H49">
            <v>68.099999999999994</v>
          </cell>
          <cell r="I49">
            <v>2</v>
          </cell>
          <cell r="J49">
            <v>55.6</v>
          </cell>
          <cell r="L49">
            <v>8.68</v>
          </cell>
        </row>
        <row r="50">
          <cell r="A50">
            <v>1959</v>
          </cell>
          <cell r="B50">
            <v>38.5</v>
          </cell>
          <cell r="D50">
            <v>24</v>
          </cell>
          <cell r="E50">
            <v>11</v>
          </cell>
          <cell r="F50">
            <v>63.2</v>
          </cell>
          <cell r="H50">
            <v>135.80000000000001</v>
          </cell>
          <cell r="I50">
            <v>8</v>
          </cell>
          <cell r="J50">
            <v>57.6</v>
          </cell>
          <cell r="L50">
            <v>16.47</v>
          </cell>
        </row>
        <row r="51">
          <cell r="A51">
            <v>1958</v>
          </cell>
          <cell r="F51">
            <v>58.6</v>
          </cell>
          <cell r="H51">
            <v>73.2</v>
          </cell>
          <cell r="I51">
            <v>7</v>
          </cell>
          <cell r="J51">
            <v>50.1</v>
          </cell>
          <cell r="L51">
            <v>13.77</v>
          </cell>
        </row>
        <row r="52">
          <cell r="A52">
            <v>1957</v>
          </cell>
          <cell r="F52">
            <v>67.2</v>
          </cell>
          <cell r="H52">
            <v>77.5</v>
          </cell>
          <cell r="I52">
            <v>10</v>
          </cell>
          <cell r="J52">
            <v>72.7</v>
          </cell>
          <cell r="L52">
            <v>132.80000000000001</v>
          </cell>
        </row>
        <row r="53">
          <cell r="A53">
            <v>1956</v>
          </cell>
          <cell r="F53">
            <v>138.30000000000001</v>
          </cell>
          <cell r="H53">
            <v>88</v>
          </cell>
          <cell r="I53">
            <v>9</v>
          </cell>
          <cell r="J53">
            <v>63.8</v>
          </cell>
          <cell r="L53">
            <v>61.8</v>
          </cell>
        </row>
        <row r="54">
          <cell r="A54">
            <v>1955</v>
          </cell>
          <cell r="F54">
            <v>74.2</v>
          </cell>
          <cell r="H54">
            <v>89.3</v>
          </cell>
          <cell r="I54">
            <v>9</v>
          </cell>
          <cell r="J54">
            <v>51.7</v>
          </cell>
          <cell r="L54">
            <v>112.5</v>
          </cell>
        </row>
        <row r="55">
          <cell r="A55">
            <v>1954</v>
          </cell>
          <cell r="F55">
            <v>60.7</v>
          </cell>
          <cell r="H55">
            <v>58.8</v>
          </cell>
          <cell r="I55">
            <v>7</v>
          </cell>
          <cell r="J55">
            <v>61.7</v>
          </cell>
          <cell r="L55">
            <v>112.5</v>
          </cell>
        </row>
        <row r="56">
          <cell r="A56">
            <v>1953</v>
          </cell>
          <cell r="F56">
            <v>53.5</v>
          </cell>
          <cell r="J56">
            <v>35.5</v>
          </cell>
          <cell r="L56">
            <v>55</v>
          </cell>
        </row>
        <row r="57">
          <cell r="A57">
            <v>1952</v>
          </cell>
          <cell r="F57">
            <v>41.2</v>
          </cell>
          <cell r="L57">
            <v>78.900000000000006</v>
          </cell>
        </row>
        <row r="58">
          <cell r="A58">
            <v>1951</v>
          </cell>
          <cell r="F58">
            <v>54</v>
          </cell>
          <cell r="L58">
            <v>68</v>
          </cell>
        </row>
        <row r="59">
          <cell r="A59">
            <v>1950</v>
          </cell>
          <cell r="F59">
            <v>50.3</v>
          </cell>
          <cell r="L59">
            <v>80.099999999999994</v>
          </cell>
        </row>
        <row r="60">
          <cell r="A60" t="str">
            <v>N-Yıl</v>
          </cell>
          <cell r="B60">
            <v>26</v>
          </cell>
          <cell r="D60">
            <v>29</v>
          </cell>
          <cell r="F60">
            <v>74</v>
          </cell>
          <cell r="H60">
            <v>31</v>
          </cell>
          <cell r="J60">
            <v>28</v>
          </cell>
          <cell r="L60">
            <v>51</v>
          </cell>
          <cell r="N60">
            <v>14</v>
          </cell>
        </row>
        <row r="61">
          <cell r="A61" t="str">
            <v>UDF</v>
          </cell>
          <cell r="B61" t="str">
            <v>G2P</v>
          </cell>
          <cell r="D61" t="str">
            <v>G2P</v>
          </cell>
          <cell r="F61" t="str">
            <v>LN3</v>
          </cell>
          <cell r="H61" t="str">
            <v>LP3</v>
          </cell>
          <cell r="J61" t="str">
            <v>LN3</v>
          </cell>
          <cell r="L61" t="str">
            <v>G</v>
          </cell>
          <cell r="N61" t="str">
            <v>G2P</v>
          </cell>
        </row>
        <row r="62">
          <cell r="A62" t="str">
            <v>P-2</v>
          </cell>
          <cell r="B62">
            <v>42.82</v>
          </cell>
          <cell r="D62">
            <v>37.61</v>
          </cell>
          <cell r="F62">
            <v>64.150000000000006</v>
          </cell>
          <cell r="H62">
            <v>71.11</v>
          </cell>
          <cell r="J62">
            <v>53.25</v>
          </cell>
          <cell r="L62">
            <v>72.069999999999993</v>
          </cell>
          <cell r="N62">
            <v>29.63</v>
          </cell>
        </row>
        <row r="63">
          <cell r="A63" t="str">
            <v>P-5</v>
          </cell>
          <cell r="B63">
            <v>52.5</v>
          </cell>
          <cell r="D63">
            <v>53.9</v>
          </cell>
          <cell r="F63">
            <v>86.12</v>
          </cell>
          <cell r="H63">
            <v>89.41</v>
          </cell>
          <cell r="J63">
            <v>72.010000000000005</v>
          </cell>
          <cell r="L63">
            <v>118.85</v>
          </cell>
          <cell r="N63">
            <v>49.23</v>
          </cell>
        </row>
        <row r="64">
          <cell r="A64" t="str">
            <v>P-10</v>
          </cell>
          <cell r="B64">
            <v>59.09</v>
          </cell>
          <cell r="D64">
            <v>65.23</v>
          </cell>
          <cell r="F64">
            <v>101.92</v>
          </cell>
          <cell r="H64">
            <v>102.96</v>
          </cell>
          <cell r="J64">
            <v>86.13</v>
          </cell>
          <cell r="L64">
            <v>149.81</v>
          </cell>
          <cell r="N64">
            <v>68.66</v>
          </cell>
        </row>
        <row r="65">
          <cell r="A65" t="str">
            <v>P-25</v>
          </cell>
          <cell r="B65">
            <v>67.42</v>
          </cell>
          <cell r="D65">
            <v>79.73</v>
          </cell>
          <cell r="F65">
            <v>123.15</v>
          </cell>
          <cell r="H65">
            <v>121.71</v>
          </cell>
          <cell r="J65">
            <v>105.77</v>
          </cell>
          <cell r="L65">
            <v>188.94</v>
          </cell>
          <cell r="N65">
            <v>98.48</v>
          </cell>
        </row>
        <row r="66">
          <cell r="A66" t="str">
            <v>P-50</v>
          </cell>
          <cell r="B66">
            <v>73.56</v>
          </cell>
          <cell r="D66">
            <v>90.5</v>
          </cell>
          <cell r="F66">
            <v>139.76</v>
          </cell>
          <cell r="H66">
            <v>136.93</v>
          </cell>
          <cell r="J66">
            <v>121.58</v>
          </cell>
          <cell r="L66">
            <v>217.97</v>
          </cell>
          <cell r="N66">
            <v>123.46</v>
          </cell>
        </row>
        <row r="67">
          <cell r="A67" t="str">
            <v>P-100</v>
          </cell>
          <cell r="B67">
            <v>79.62</v>
          </cell>
          <cell r="D67">
            <v>101.21</v>
          </cell>
          <cell r="F67">
            <v>157.06</v>
          </cell>
          <cell r="H67">
            <v>153.21</v>
          </cell>
          <cell r="J67">
            <v>138.4</v>
          </cell>
          <cell r="L67">
            <v>246.78</v>
          </cell>
          <cell r="N67">
            <v>150.29</v>
          </cell>
        </row>
      </sheetData>
      <sheetData sheetId="71" refreshError="1"/>
      <sheetData sheetId="72" refreshError="1"/>
      <sheetData sheetId="73" refreshError="1"/>
      <sheetData sheetId="74" refreshError="1"/>
      <sheetData sheetId="75" refreshError="1"/>
      <sheetData sheetId="76" refreshError="1"/>
      <sheetData sheetId="77"/>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ÖNETİM"/>
      <sheetName val="Genel"/>
      <sheetName val="YAZ"/>
      <sheetName val="PaketImalat"/>
      <sheetName val="Miktarlar"/>
      <sheetName val="Grup"/>
      <sheetName val="MFFZam"/>
      <sheetName val="Ek Bilgi"/>
      <sheetName val="ÖzelPoz"/>
      <sheetName val="BFLIST"/>
      <sheetName val="NAKLİYE"/>
      <sheetName val="YolFigList"/>
      <sheetName val="PakFigList"/>
      <sheetName val="PaketFigure"/>
      <sheetName val="M&lt;10.000"/>
      <sheetName val="M&gt;10.000"/>
      <sheetName val="AtsDisSay"/>
      <sheetName val="UYiliOdenMFF"/>
      <sheetName val="MFFIcmal"/>
      <sheetName val="MFFIcmal_2"/>
      <sheetName val="MFFTesbitMik"/>
      <sheetName val="Kesif"/>
      <sheetName val="Teklif"/>
      <sheetName val="IsTesTut"/>
      <sheetName val="IseBasTut"/>
      <sheetName val="Muk.Keşif"/>
      <sheetName val="KesifArtis"/>
      <sheetName val="SureUzat"/>
      <sheetName val="YesDefKap"/>
      <sheetName val="YesDefIc"/>
      <sheetName val="HakIcSay"/>
      <sheetName val="Icmal"/>
      <sheetName val="MFFTesbitTut"/>
      <sheetName val="MMikHesTab"/>
      <sheetName val="MFFHesTab"/>
      <sheetName val="Fatura"/>
      <sheetName val="OdeCet"/>
      <sheetName val="HakRap"/>
      <sheetName val="YeniFiyTut"/>
      <sheetName val="KabulTut"/>
      <sheetName val="Ilan"/>
      <sheetName val="IlanTut"/>
      <sheetName val="DiziPus"/>
      <sheetName val="GenFiyAnlz"/>
      <sheetName val="MFFEntListe"/>
      <sheetName val="MFFListe"/>
      <sheetName val="RAYIC"/>
      <sheetName val="TESISAT"/>
      <sheetName val="IhzTesTut"/>
      <sheetName val="IhzKesCet"/>
      <sheetName val="Onay"/>
      <sheetName val="EmKomTesk"/>
      <sheetName val="IhaCikmaKarari"/>
      <sheetName val="IhaIlanYazi"/>
      <sheetName val="DagIhaIlanYazi"/>
      <sheetName val="IhaIlan"/>
      <sheetName val="IhaKarari"/>
      <sheetName val="AntImCagYazi"/>
      <sheetName val="AntImCagIlan"/>
      <sheetName val="DamResBedTah"/>
      <sheetName val="GecTemIadeYazi"/>
      <sheetName val="KesTemAlin"/>
      <sheetName val="SayisYazi"/>
      <sheetName val="SSKYazi"/>
      <sheetName val="KararDef"/>
      <sheetName val="EmKomKar"/>
      <sheetName val="AutoHAK_v50_XP_09_beyhim_micir_"/>
    </sheetNames>
    <sheetDataSet>
      <sheetData sheetId="0" refreshError="1"/>
      <sheetData sheetId="1"/>
      <sheetData sheetId="2">
        <row r="3">
          <cell r="A3" t="str">
            <v>1. Keşif</v>
          </cell>
          <cell r="B3" t="str">
            <v>Kesif</v>
          </cell>
          <cell r="C3" t="str">
            <v>yazKesif1</v>
          </cell>
          <cell r="D3">
            <v>35</v>
          </cell>
          <cell r="E3" t="b">
            <v>0</v>
          </cell>
          <cell r="F3" t="str">
            <v>Yeşil Defter İç Sayfa</v>
          </cell>
          <cell r="G3" t="str">
            <v>YesDefIc</v>
          </cell>
          <cell r="H3" t="str">
            <v>yazYDefterIc</v>
          </cell>
          <cell r="I3">
            <v>7</v>
          </cell>
          <cell r="J3" t="b">
            <v>1</v>
          </cell>
        </row>
        <row r="4">
          <cell r="A4" t="str">
            <v>Onay Belgesi</v>
          </cell>
          <cell r="B4" t="str">
            <v>Onay</v>
          </cell>
          <cell r="C4" t="str">
            <v>yazOnayBel</v>
          </cell>
          <cell r="D4">
            <v>35</v>
          </cell>
          <cell r="E4" t="b">
            <v>0</v>
          </cell>
          <cell r="F4" t="str">
            <v>Yeşil Defter Kapak</v>
          </cell>
          <cell r="G4" t="str">
            <v>YesDefKap</v>
          </cell>
          <cell r="H4" t="str">
            <v>yazYDefKapak</v>
          </cell>
          <cell r="I4" t="str">
            <v>6</v>
          </cell>
          <cell r="J4" t="b">
            <v>1</v>
          </cell>
        </row>
        <row r="5">
          <cell r="A5" t="str">
            <v>Em.Komisyonu Teşkili</v>
          </cell>
          <cell r="B5" t="str">
            <v>EmKomTesk</v>
          </cell>
          <cell r="C5" t="str">
            <v>yazEmKomTes</v>
          </cell>
          <cell r="D5">
            <v>35</v>
          </cell>
          <cell r="E5" t="b">
            <v>0</v>
          </cell>
          <cell r="F5" t="str">
            <v>Hakediş İç Sayfa</v>
          </cell>
          <cell r="G5" t="str">
            <v>HakIcSay</v>
          </cell>
          <cell r="H5" t="str">
            <v>yazHakIcSay</v>
          </cell>
          <cell r="I5" t="str">
            <v>5</v>
          </cell>
          <cell r="J5" t="b">
            <v>1</v>
          </cell>
        </row>
        <row r="6">
          <cell r="A6" t="str">
            <v>İşin İhaleye Çıkarılması Kararı</v>
          </cell>
          <cell r="B6" t="str">
            <v>IhaCikmaKarari</v>
          </cell>
          <cell r="C6" t="str">
            <v>yazIhaCikKarar</v>
          </cell>
          <cell r="D6">
            <v>35</v>
          </cell>
          <cell r="E6" t="b">
            <v>0</v>
          </cell>
          <cell r="F6" t="str">
            <v>İcmal</v>
          </cell>
          <cell r="G6" t="str">
            <v>Icmal</v>
          </cell>
          <cell r="H6" t="str">
            <v>yazIcmal</v>
          </cell>
          <cell r="I6" t="str">
            <v>4</v>
          </cell>
          <cell r="J6" t="b">
            <v>1</v>
          </cell>
        </row>
        <row r="7">
          <cell r="A7" t="str">
            <v>Karar Defteri</v>
          </cell>
          <cell r="B7" t="str">
            <v>KararDef</v>
          </cell>
          <cell r="C7" t="str">
            <v>yazKararDef</v>
          </cell>
          <cell r="D7">
            <v>35</v>
          </cell>
          <cell r="E7" t="b">
            <v>0</v>
          </cell>
          <cell r="F7" t="str">
            <v>M.Fiy.Fark.Tesbit Tut.</v>
          </cell>
          <cell r="G7" t="str">
            <v>MFFTesbitTut</v>
          </cell>
          <cell r="H7" t="str">
            <v>yazMFFTesTut</v>
          </cell>
          <cell r="I7" t="str">
            <v>15</v>
          </cell>
          <cell r="J7" t="b">
            <v>0</v>
          </cell>
        </row>
        <row r="8">
          <cell r="A8" t="str">
            <v>Paket Figüre Ataşmanı</v>
          </cell>
          <cell r="B8" t="str">
            <v>PaketFigure</v>
          </cell>
          <cell r="C8" t="str">
            <v>yazPaketFig</v>
          </cell>
          <cell r="D8">
            <v>35</v>
          </cell>
          <cell r="E8" t="b">
            <v>0</v>
          </cell>
          <cell r="F8" t="str">
            <v>Mal.Mik. Hesap Tablosu</v>
          </cell>
          <cell r="G8" t="str">
            <v>MMikHesTab</v>
          </cell>
          <cell r="H8" t="str">
            <v>yazMMikHesTab</v>
          </cell>
          <cell r="I8" t="str">
            <v>14</v>
          </cell>
          <cell r="J8" t="b">
            <v>0</v>
          </cell>
        </row>
        <row r="9">
          <cell r="A9" t="str">
            <v>Nak.Ataşmanı ( M&lt;10000)</v>
          </cell>
          <cell r="B9" t="str">
            <v>M&lt;10.000</v>
          </cell>
          <cell r="C9" t="str">
            <v>yazMomTab1</v>
          </cell>
          <cell r="D9">
            <v>35</v>
          </cell>
          <cell r="E9" t="b">
            <v>0</v>
          </cell>
          <cell r="F9" t="str">
            <v>M.F.Farkı Hesap Tablosu</v>
          </cell>
          <cell r="G9" t="str">
            <v>MFFHesTab</v>
          </cell>
          <cell r="H9" t="str">
            <v>yazMFFHesTab</v>
          </cell>
          <cell r="I9" t="str">
            <v>13</v>
          </cell>
          <cell r="J9" t="b">
            <v>0</v>
          </cell>
        </row>
        <row r="10">
          <cell r="A10" t="str">
            <v>Nak.Ataşmanı ( M&gt;10000)</v>
          </cell>
          <cell r="B10" t="str">
            <v>M&gt;10.000</v>
          </cell>
          <cell r="C10" t="str">
            <v>yazMomTab2</v>
          </cell>
          <cell r="D10">
            <v>35</v>
          </cell>
          <cell r="E10" t="b">
            <v>0</v>
          </cell>
          <cell r="F10" t="str">
            <v>Mal.Fiy.Farkları İcmali</v>
          </cell>
          <cell r="G10" t="str">
            <v>MFFIcmal</v>
          </cell>
          <cell r="H10" t="str">
            <v>yazMFFIcmal</v>
          </cell>
          <cell r="I10" t="str">
            <v>12</v>
          </cell>
          <cell r="J10" t="b">
            <v>0</v>
          </cell>
        </row>
        <row r="11">
          <cell r="A11" t="str">
            <v>İşyeri Teslim Tutanağı</v>
          </cell>
          <cell r="B11" t="str">
            <v>IsTesTut</v>
          </cell>
          <cell r="C11" t="str">
            <v>yazIsyeriTesTut</v>
          </cell>
          <cell r="D11">
            <v>8</v>
          </cell>
          <cell r="E11" t="b">
            <v>0</v>
          </cell>
          <cell r="F11" t="str">
            <v>Fatura Listesi</v>
          </cell>
          <cell r="G11" t="str">
            <v>Fatura</v>
          </cell>
          <cell r="H11" t="str">
            <v>yazFatList</v>
          </cell>
          <cell r="I11" t="str">
            <v>16</v>
          </cell>
          <cell r="J11" t="b">
            <v>0</v>
          </cell>
        </row>
        <row r="12">
          <cell r="A12" t="str">
            <v>İşe Başlama Tutanağı</v>
          </cell>
          <cell r="B12" t="str">
            <v>IseBasTut</v>
          </cell>
          <cell r="C12" t="str">
            <v>yazIseBasTut</v>
          </cell>
          <cell r="D12">
            <v>9</v>
          </cell>
          <cell r="E12" t="b">
            <v>0</v>
          </cell>
          <cell r="F12" t="str">
            <v>Ödeme Cetveli</v>
          </cell>
          <cell r="G12" t="str">
            <v>OdeCet</v>
          </cell>
          <cell r="H12" t="str">
            <v>yazOdemeCet</v>
          </cell>
          <cell r="I12" t="str">
            <v>2</v>
          </cell>
          <cell r="J12" t="b">
            <v>1</v>
          </cell>
        </row>
        <row r="13">
          <cell r="A13" t="str">
            <v>Mukayeseli Keşif</v>
          </cell>
          <cell r="B13" t="str">
            <v>Muk.Keşif</v>
          </cell>
          <cell r="C13" t="str">
            <v>yazMukKesif</v>
          </cell>
          <cell r="D13">
            <v>31</v>
          </cell>
          <cell r="E13" t="b">
            <v>0</v>
          </cell>
          <cell r="F13" t="str">
            <v>Hakediş Raporu</v>
          </cell>
          <cell r="G13" t="str">
            <v>HakRap</v>
          </cell>
          <cell r="H13" t="str">
            <v>yazHakRap</v>
          </cell>
          <cell r="I13" t="str">
            <v>1</v>
          </cell>
          <cell r="J13" t="b">
            <v>1</v>
          </cell>
        </row>
        <row r="14">
          <cell r="A14" t="str">
            <v>Keşif Artış Kararı</v>
          </cell>
          <cell r="B14" t="str">
            <v>KesifArtis</v>
          </cell>
          <cell r="C14" t="str">
            <v>yazKesArtKarar</v>
          </cell>
          <cell r="D14">
            <v>30</v>
          </cell>
          <cell r="E14" t="b">
            <v>0</v>
          </cell>
          <cell r="F14" t="str">
            <v>Geçici/Kesin Kabul Tut.</v>
          </cell>
          <cell r="G14" t="str">
            <v>KabulTut</v>
          </cell>
          <cell r="H14" t="str">
            <v>yazKabulTut</v>
          </cell>
          <cell r="I14" t="str">
            <v>29</v>
          </cell>
          <cell r="J14" t="b">
            <v>0</v>
          </cell>
        </row>
        <row r="15">
          <cell r="A15" t="str">
            <v>Süre Uzatımı Kararı</v>
          </cell>
          <cell r="B15" t="str">
            <v>SureUzat</v>
          </cell>
          <cell r="C15" t="str">
            <v>yazSureUzatKarar</v>
          </cell>
          <cell r="D15">
            <v>32</v>
          </cell>
          <cell r="E15" t="b">
            <v>0</v>
          </cell>
          <cell r="F15" t="str">
            <v>İşçi Alacakları İlanı</v>
          </cell>
          <cell r="G15" t="str">
            <v>Ilan</v>
          </cell>
          <cell r="H15" t="str">
            <v>yazIlan</v>
          </cell>
          <cell r="I15" t="str">
            <v>10</v>
          </cell>
          <cell r="J15" t="b">
            <v>1</v>
          </cell>
        </row>
        <row r="16">
          <cell r="A16" t="str">
            <v>Yeni Fiyat Tutanağı</v>
          </cell>
          <cell r="B16" t="str">
            <v>YeniFiyTut</v>
          </cell>
          <cell r="C16" t="str">
            <v>yazYeniFiyTut</v>
          </cell>
          <cell r="D16">
            <v>3</v>
          </cell>
          <cell r="E16" t="b">
            <v>0</v>
          </cell>
          <cell r="F16" t="str">
            <v>İşçi Alacakları İlan Tut.</v>
          </cell>
          <cell r="G16" t="str">
            <v>IlanTut</v>
          </cell>
          <cell r="H16" t="str">
            <v>yazIlanTut</v>
          </cell>
          <cell r="I16" t="str">
            <v>11</v>
          </cell>
          <cell r="J16" t="b">
            <v>1</v>
          </cell>
        </row>
        <row r="17">
          <cell r="A17" t="str">
            <v>Genel Fiyat Analizi</v>
          </cell>
          <cell r="B17" t="str">
            <v>GenFiyAnlz</v>
          </cell>
          <cell r="C17" t="str">
            <v>yazGenFiyAnaliz</v>
          </cell>
          <cell r="D17">
            <v>27</v>
          </cell>
          <cell r="E17" t="b">
            <v>0</v>
          </cell>
          <cell r="F17" t="str">
            <v>Dizi Pusulası</v>
          </cell>
          <cell r="G17" t="str">
            <v>DiziPus</v>
          </cell>
          <cell r="H17" t="str">
            <v>yazDiziPus</v>
          </cell>
          <cell r="I17">
            <v>35</v>
          </cell>
          <cell r="J17" t="b">
            <v>1</v>
          </cell>
        </row>
      </sheetData>
      <sheetData sheetId="3" refreshError="1"/>
      <sheetData sheetId="4">
        <row r="7">
          <cell r="J7">
            <v>545</v>
          </cell>
        </row>
        <row r="8">
          <cell r="J8">
            <v>4</v>
          </cell>
        </row>
        <row r="9">
          <cell r="J9">
            <v>34</v>
          </cell>
        </row>
        <row r="10">
          <cell r="J10">
            <v>345</v>
          </cell>
        </row>
        <row r="11">
          <cell r="J11">
            <v>345</v>
          </cell>
        </row>
        <row r="12">
          <cell r="J12">
            <v>345</v>
          </cell>
        </row>
        <row r="13">
          <cell r="J13">
            <v>6345</v>
          </cell>
        </row>
        <row r="14">
          <cell r="J14">
            <v>354</v>
          </cell>
        </row>
      </sheetData>
      <sheetData sheetId="5"/>
      <sheetData sheetId="6">
        <row r="14">
          <cell r="C14">
            <v>37622</v>
          </cell>
        </row>
      </sheetData>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KAL DÖN.YAP.İŞL.İTİNERERİ"/>
      <sheetName val="TIRMANMA ŞERİTLERİ"/>
      <sheetName val="HAKEDİŞLER"/>
      <sheetName val="İŞ PROĞRAMI"/>
      <sheetName val="DOSYA KAP. YAZILARI"/>
      <sheetName val="TİP ENKESİT"/>
      <sheetName val="NUMUNE KARTI"/>
      <sheetName val="BETON BAS.DAY.FORMU"/>
      <sheetName val="ARAZİ  PUANTAJI"/>
      <sheetName val="KUTU MEF 2"/>
      <sheetName val="TES.İŞ.KÜBJ.İCMALİ"/>
      <sheetName val="fazla ödeme"/>
      <sheetName val="Fotoğraf Km.si"/>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NAT YAPILARI KRS"/>
      <sheetName val="KOPRULER KRS"/>
      <sheetName val="Sheet1"/>
      <sheetName val="KUTU MENFEZ"/>
      <sheetName val="KM KANATLI"/>
      <sheetName val="KM TASIMA MOMENTLERI"/>
      <sheetName val="TABLIYELI MENFEZ"/>
      <sheetName val="KAPAK"/>
      <sheetName val="Sheet2"/>
      <sheetName val="KOP TAS MOMENT"/>
      <sheetName val="KM ATASMAN ICM"/>
      <sheetName val="KOP ATASMAN ICM"/>
      <sheetName val="139.5100DEV"/>
      <sheetName val="KKANATLI"/>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kumru"/>
      <sheetName val="Cetin"/>
      <sheetName val="Pervari"/>
      <sheetName val="Keskin"/>
      <sheetName val="Oran"/>
      <sheetName val="Narli"/>
      <sheetName val="Alkumru-Cetin"/>
      <sheetName val="Cetin-Pervari"/>
      <sheetName val="Pervari-Keskin"/>
      <sheetName val="Keskin-Oran"/>
      <sheetName val="Oran-Narli"/>
      <sheetName val="2621"/>
      <sheetName val="2604"/>
      <sheetName val="2604A"/>
      <sheetName val="2626"/>
      <sheetName val="2633"/>
      <sheetName val="2614"/>
      <sheetName val="2615"/>
      <sheetName val="26-51"/>
      <sheetName val="26-55"/>
      <sheetName val="2631"/>
      <sheetName val="26-33"/>
      <sheetName val="2609"/>
      <sheetName val="2631 (2615ten)"/>
      <sheetName val="2631 (2621den)"/>
      <sheetName val="Birim"/>
      <sheetName val="Cizelge"/>
      <sheetName val="CiftKutle"/>
    </sheetNames>
    <sheetDataSet>
      <sheetData sheetId="0">
        <row r="70">
          <cell r="D70">
            <v>0.18829362872081745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kumru"/>
      <sheetName val="Cetin"/>
      <sheetName val="Pervari"/>
      <sheetName val="Keskin"/>
      <sheetName val="Oran"/>
      <sheetName val="Narli"/>
      <sheetName val="Alkumru-Cetin"/>
      <sheetName val="Cetin-Pervari"/>
      <sheetName val="Pervari-Keskin"/>
      <sheetName val="Keskin-Oran"/>
      <sheetName val="Oran-Narli"/>
      <sheetName val="2621"/>
      <sheetName val="2604"/>
      <sheetName val="2604A"/>
      <sheetName val="2626"/>
      <sheetName val="2633"/>
      <sheetName val="2614"/>
      <sheetName val="2615"/>
      <sheetName val="26-51"/>
      <sheetName val="26-55"/>
      <sheetName val="2631"/>
      <sheetName val="26-33"/>
      <sheetName val="2609"/>
      <sheetName val="2631 (2615ten)"/>
      <sheetName val="2631 (2621den)"/>
      <sheetName val="Birim"/>
      <sheetName val="Cizelge"/>
      <sheetName val="CiftKutle"/>
    </sheetNames>
    <sheetDataSet>
      <sheetData sheetId="0">
        <row r="70">
          <cell r="D70">
            <v>0.18829362872081745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8"/>
      <sheetName val="4.9"/>
      <sheetName val="4.10"/>
      <sheetName val="4.11"/>
      <sheetName val="4.12"/>
      <sheetName val="4.13"/>
      <sheetName val="4.14"/>
      <sheetName val="4.15"/>
      <sheetName val="4.16"/>
      <sheetName val="4.17"/>
      <sheetName val="4.18"/>
      <sheetName val="4.19"/>
      <sheetName val="4.20"/>
      <sheetName val="4.21"/>
      <sheetName val="4.22"/>
      <sheetName val="4.23"/>
      <sheetName val="4.24"/>
      <sheetName val="4.25"/>
      <sheetName val="4.26"/>
      <sheetName val="4.27"/>
      <sheetName val="4.28"/>
      <sheetName val="4.29"/>
      <sheetName val="4.30"/>
      <sheetName val="4.31"/>
      <sheetName val="4.32"/>
      <sheetName val="4.33"/>
      <sheetName val="4.34"/>
      <sheetName val="4.35"/>
      <sheetName val="4.36"/>
      <sheetName val="4.37"/>
      <sheetName val="4.38"/>
      <sheetName val="4.39"/>
      <sheetName val="4.40"/>
      <sheetName val="4.41"/>
      <sheetName val="4.42"/>
      <sheetName val="4.43"/>
      <sheetName val="4.44"/>
      <sheetName val="4.45"/>
      <sheetName val="4.46"/>
      <sheetName val="4.47"/>
      <sheetName val="4.4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KAL DÖN.YAP.İŞL.İTİNERERİ"/>
      <sheetName val="TIRMANMA ŞERİTLERİ"/>
      <sheetName val="HAKEDİŞLER"/>
      <sheetName val="İŞ PROĞRAMI"/>
      <sheetName val="DOSYA KAP. YAZILARI"/>
      <sheetName val="TİP ENKESİT"/>
      <sheetName val="NUMUNE KARTI"/>
      <sheetName val="BETON BAS.DAY.FORMU"/>
      <sheetName val="ARAZİ  PUANTAJI"/>
      <sheetName val="KUTU MEF 2"/>
      <sheetName val="TES.İŞ.KÜBJ.İCMALİ"/>
      <sheetName val="fazla ödeme"/>
      <sheetName val="Fotoğraf Km.si"/>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por1"/>
      <sheetName val="Rapor1a"/>
      <sheetName val="Rapor1b"/>
      <sheetName val="Rapor3"/>
      <sheetName val="Rapor4"/>
      <sheetName val="Rapor4b"/>
      <sheetName val="Rapor5"/>
      <sheetName val="DebilerTablosu"/>
      <sheetName val="Tekerrurler"/>
      <sheetName val="Formuller"/>
      <sheetName val="Hmj_Test"/>
      <sheetName val="Oranlar"/>
      <sheetName val="Oranlar2"/>
      <sheetName val="Proje1"/>
      <sheetName val="Proje2"/>
      <sheetName val="Proje3"/>
      <sheetName val="Proje4"/>
      <sheetName val="Cizimler"/>
      <sheetName val="TaskinAylari"/>
      <sheetName val="Cizelge_Qpik"/>
      <sheetName val="Korel"/>
      <sheetName val="KorelGra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ma+Dam"/>
      <sheetName val="Yük.Bas.+Dam."/>
      <sheetName val="TAMAMI"/>
      <sheetName val="K.A.R"/>
      <sheetName val="KAR-Raf"/>
      <sheetName val="Datagir"/>
      <sheetName val="CIKTI"/>
      <sheetName val="T2.1"/>
      <sheetName val="T2.6"/>
      <sheetName val="T2.11"/>
      <sheetName val="BÜNYE"/>
      <sheetName val="C-D Randıma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ma+Dam"/>
      <sheetName val="Yük.Bas.+Dam."/>
      <sheetName val="TAMAMI"/>
      <sheetName val="K.A.R"/>
      <sheetName val="KAR-Raf"/>
      <sheetName val="Datagir"/>
      <sheetName val="CIKTI"/>
      <sheetName val="T2.1"/>
      <sheetName val="T2.6"/>
      <sheetName val="T2.11"/>
      <sheetName val="BÜNYE"/>
      <sheetName val="C-D Randıma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R (2)"/>
      <sheetName val="K.A.R"/>
      <sheetName val="Datagir"/>
      <sheetName val="CIKTI"/>
      <sheetName val="T 3.1.2"/>
      <sheetName val="T3.1.8"/>
      <sheetName val="C-D Randıman"/>
      <sheetName val="Sayfa1"/>
      <sheetName val="Sayfa2"/>
    </sheetNames>
    <sheetDataSet>
      <sheetData sheetId="0"/>
      <sheetData sheetId="1"/>
      <sheetData sheetId="2"/>
      <sheetData sheetId="3"/>
      <sheetData sheetId="4"/>
      <sheetData sheetId="5"/>
      <sheetData sheetId="6"/>
      <sheetData sheetId="7"/>
      <sheetData sheetId="8"/>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RAJ"/>
      <sheetName val="KEŞİF"/>
      <sheetName val="Yağmur_Keşfi"/>
      <sheetName val="Kanal_Keşfi"/>
      <sheetName val="TopKEŞİF"/>
      <sheetName val="BÖLÜM E"/>
      <sheetName val="Maliyet"/>
      <sheetName val="Bölüm1,2,7,9"/>
      <sheetName val="DolMetraj"/>
      <sheetName val="DipMetraj"/>
      <sheetName val="İnş.Sür"/>
      <sheetName val="Dipsavak"/>
      <sheetName val="DİP_GRAFİK"/>
      <sheetName val="VANA ODASI"/>
      <sheetName val="TABLO"/>
      <sheetName val="HACSAT_GRAFİK (2)"/>
      <sheetName val="Dml"/>
      <sheetName val="HACSAT_GRAFİK"/>
      <sheetName val="Damla"/>
      <sheetName val="Al.bsnç."/>
      <sheetName val="C-D Randıman"/>
      <sheetName val="KAR (2)"/>
      <sheetName val="BitkiSuHesabı"/>
      <sheetName val="BitkiSuTablolar"/>
      <sheetName val="YağSuMet"/>
      <sheetName val="POZLAR"/>
      <sheetName val="ATÜLER"/>
      <sheetName val="SULAMA"/>
      <sheetName val="DERİVASYON"/>
      <sheetName val="GEREÇ DAĞIL. ŞEMASI"/>
      <sheetName val="Kaya"/>
      <sheetName val="Geçirimli"/>
      <sheetName val="Geçirimsiz"/>
      <sheetName val="BİRİM_FİYATL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RAJ"/>
      <sheetName val="KEŞİF"/>
      <sheetName val="Yağmur_Keşfi"/>
      <sheetName val="Kanal_Keşfi"/>
      <sheetName val="TopKEŞİF"/>
      <sheetName val="BÖLÜM E"/>
      <sheetName val="Maliyet"/>
      <sheetName val="Bölüm1,2,7,9"/>
      <sheetName val="DolMetraj"/>
      <sheetName val="DipMetraj"/>
      <sheetName val="İnş.Sür"/>
      <sheetName val="Dipsavak"/>
      <sheetName val="DİP_GRAFİK"/>
      <sheetName val="VANA ODASI"/>
      <sheetName val="TABLO"/>
      <sheetName val="HACSAT_GRAFİK (2)"/>
      <sheetName val="Dml"/>
      <sheetName val="HACSAT_GRAFİK"/>
      <sheetName val="Damla"/>
      <sheetName val="Al.bsnç."/>
      <sheetName val="C-D Randıman"/>
      <sheetName val="KAR (2)"/>
      <sheetName val="BitkiSuHesabı"/>
      <sheetName val="BitkiSuTablolar"/>
      <sheetName val="YağSuMet"/>
      <sheetName val="POZLAR"/>
      <sheetName val="ATÜLER"/>
      <sheetName val="SULAMA"/>
      <sheetName val="DERİVASYON"/>
      <sheetName val="GEREÇ DAĞIL. ŞEMASI"/>
      <sheetName val="Kaya"/>
      <sheetName val="Geçirimli"/>
      <sheetName val="Geçirimsiz"/>
      <sheetName val="BİRİM_FİYATL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IIRT.DMI"/>
      <sheetName val="T-SIIRT.DMI"/>
      <sheetName val="T-PERVARI.DMI"/>
      <sheetName val="Sckl&amp;Buh"/>
      <sheetName val="Yagislar"/>
      <sheetName val="Kayiplar"/>
    </sheetNames>
    <sheetDataSet>
      <sheetData sheetId="0"/>
      <sheetData sheetId="1">
        <row r="1">
          <cell r="S1">
            <v>6.9999999999999993E-3</v>
          </cell>
        </row>
      </sheetData>
      <sheetData sheetId="2"/>
      <sheetData sheetId="3"/>
      <sheetData sheetId="4"/>
      <sheetData sheetId="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öpr-icm"/>
    </sheetNames>
    <sheetDataSet>
      <sheetData sheetId="0"/>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llanım"/>
      <sheetName val="Input"/>
      <sheetName val="Yüzey Akım"/>
      <sheetName val="Cikti Sayfasi"/>
      <sheetName val="Cikti Sayfasi (2)"/>
      <sheetName val="Isletme Ozeti"/>
      <sheetName val="Dolusavak"/>
      <sheetName val="Enerji"/>
      <sheetName val="Mansap Eksik Kalan"/>
      <sheetName val="Rezervuardan Çekilen"/>
      <sheetName val="E. Üretimi"/>
      <sheetName val="İşletme Grafiği"/>
      <sheetName val="İşletme Grafiği (2)"/>
      <sheetName val="Sheet3"/>
      <sheetName val="OUT"/>
      <sheetName val="5-26 İLE 4-58 AKIMLAR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4">
          <cell r="A4">
            <v>468</v>
          </cell>
        </row>
      </sheetData>
      <sheetData sheetId="14" refreshError="1"/>
      <sheetData sheetId="15"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nnual data"/>
      <sheetName val="Trend Statistics"/>
      <sheetName val="Figure"/>
    </sheetNames>
    <sheetDataSet>
      <sheetData sheetId="0" refreshError="1"/>
      <sheetData sheetId="1">
        <row r="3">
          <cell r="A3" t="str">
            <v>KAHRAMANMARAŞ ADATEPE BARAJI</v>
          </cell>
        </row>
      </sheetData>
      <sheetData sheetId="2" refreshError="1"/>
      <sheetData sheetId="3"/>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nnual data"/>
      <sheetName val="Trend Statistics"/>
      <sheetName val="Figure"/>
    </sheetNames>
    <sheetDataSet>
      <sheetData sheetId="0" refreshError="1"/>
      <sheetData sheetId="1">
        <row r="3">
          <cell r="A3" t="str">
            <v>KAHRAMANMARAŞ ADATEPE BARAJI</v>
          </cell>
        </row>
      </sheetData>
      <sheetData sheetId="2" refreshError="1"/>
      <sheetData sheetId="3"/>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sera CIKTI"/>
      <sheetName val="tarla CIKTI"/>
      <sheetName val="Tablo -1"/>
      <sheetName val="Tablo-2-3"/>
      <sheetName val="Tablo-2-3 (2)"/>
      <sheetName val="Tablo -4 "/>
      <sheetName val="Sayfa3"/>
      <sheetName val="T-5 PAL-ÇAV-OVA SULAMA"/>
      <sheetName val="Tablo3.44"/>
      <sheetName val="Tablo3.45"/>
      <sheetName val="Tablo3.46"/>
      <sheetName val="Tablo3.37"/>
      <sheetName val="Tablo 3.36"/>
      <sheetName val="Tablo3.42"/>
      <sheetName val="Tablo3.43"/>
      <sheetName val="Tablo 3.3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IIRT.DMI"/>
      <sheetName val="T-SIIRT.DMI"/>
      <sheetName val="T-PERVARI.DMI"/>
      <sheetName val="Sckl&amp;Buh"/>
      <sheetName val="Yagislar"/>
      <sheetName val="Kayiplar"/>
    </sheetNames>
    <sheetDataSet>
      <sheetData sheetId="0"/>
      <sheetData sheetId="1">
        <row r="1">
          <cell r="S1">
            <v>6.9999999999999993E-3</v>
          </cell>
        </row>
      </sheetData>
      <sheetData sheetId="2"/>
      <sheetData sheetId="3"/>
      <sheetData sheetId="4"/>
      <sheetData sheetId="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IIRT.DMI"/>
      <sheetName val="T-SIIRT.DMI"/>
      <sheetName val="T-PERVARI.DMI"/>
      <sheetName val="Sckl&amp;Buh"/>
      <sheetName val="Yagislar"/>
      <sheetName val="Kayiplar"/>
    </sheetNames>
    <sheetDataSet>
      <sheetData sheetId="0"/>
      <sheetData sheetId="1">
        <row r="1">
          <cell r="S1">
            <v>6.9999999999999993E-3</v>
          </cell>
        </row>
      </sheetData>
      <sheetData sheetId="2"/>
      <sheetData sheetId="3"/>
      <sheetData sheetId="4"/>
      <sheetData sheetId="5"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gir"/>
      <sheetName val="CIKTI"/>
    </sheetNames>
    <sheetDataSet>
      <sheetData sheetId="0"/>
      <sheetData sheetId="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gir"/>
      <sheetName val="CIKTI"/>
    </sheetNames>
    <sheetDataSet>
      <sheetData sheetId="0"/>
      <sheetData sheetId="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LLANIM"/>
      <sheetName val="Bilgi"/>
      <sheetName val="Giriş Hidrografı"/>
      <sheetName val="Hacim-Satıh"/>
      <sheetName val="Ho Hesabı"/>
      <sheetName val="DeşarjEğrisi"/>
      <sheetName val="Sheet1"/>
      <sheetName val="Routing"/>
      <sheetName val="Taşkın Öteleme"/>
      <sheetName val="Co Hesabı"/>
    </sheetNames>
    <sheetDataSet>
      <sheetData sheetId="0"/>
      <sheetData sheetId="1"/>
      <sheetData sheetId="2"/>
      <sheetData sheetId="3"/>
      <sheetData sheetId="4"/>
      <sheetData sheetId="5" refreshError="1"/>
      <sheetData sheetId="6">
        <row r="2">
          <cell r="B2">
            <v>0</v>
          </cell>
        </row>
      </sheetData>
      <sheetData sheetId="7">
        <row r="1">
          <cell r="Y1">
            <v>49</v>
          </cell>
          <cell r="Z1">
            <v>1</v>
          </cell>
        </row>
      </sheetData>
      <sheetData sheetId="8" refreshError="1"/>
      <sheetData sheetId="9"/>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öpr-icm"/>
      <sheetName val="keyplan"/>
      <sheetName val="kapak"/>
      <sheetName val="hakrap"/>
      <sheetName val="dizpus"/>
      <sheetName val="dpusydsiz"/>
      <sheetName val="ödcet"/>
      <sheetName val="icmal"/>
      <sheetName val="ydiç"/>
      <sheetName val="yapisler"/>
      <sheetName val="öddil"/>
      <sheetName val="mali"/>
      <sheetName val="isçi"/>
      <sheetName val="fficmali"/>
      <sheetName val="kurusaka"/>
      <sheetName val="miktaraka"/>
      <sheetName val="kümakami"/>
      <sheetName val="aka-mik-tut"/>
      <sheetName val="çimfifark"/>
      <sheetName val="çzamtut"/>
      <sheetName val="çbünyetut"/>
      <sheetName val="çmiktar"/>
      <sheetName val="mik-tut (Çim)"/>
      <sheetName val="elekt(çim)"/>
      <sheetName val="fatçim"/>
      <sheetName val="çimicmal "/>
      <sheetName val="kumicmal"/>
      <sheetName val="fifark(dem)"/>
      <sheetName val="zamtut(dem)"/>
      <sheetName val="bünyetut(dem)"/>
      <sheetName val="dmiktar"/>
      <sheetName val="mik-tut (Dem)"/>
      <sheetName val="fat(dem)"/>
      <sheetName val="köprü-dem"/>
      <sheetName val="fifark(PVC)"/>
      <sheetName val="zamtut (PVC)"/>
      <sheetName val="bünyetut (PVC)"/>
      <sheetName val="miktar (PVC)"/>
      <sheetName val="mik-tut (PVC) "/>
      <sheetName val="fifark(bitüm)"/>
      <sheetName val="zamtut (bit)"/>
      <sheetName val="bünyetut (bit)"/>
      <sheetName val="miktar (bit)"/>
      <sheetName val="fatura (bit)"/>
      <sheetName val="bitüm-mik-tut"/>
      <sheetName val="emülsiyon icmal"/>
      <sheetName val="fifark (çinko)"/>
      <sheetName val="zamtut (çinko)"/>
      <sheetName val="bünyetut (çinko)"/>
      <sheetName val="mik-tut (çinko)  "/>
      <sheetName val="fifark (saç) "/>
      <sheetName val="zamtut (saç)"/>
      <sheetName val="bünyetut (saç) "/>
      <sheetName val="miktar (saç)"/>
      <sheetName val="mik-tut (sac) "/>
      <sheetName val="fifark(AL)"/>
      <sheetName val="zamtut (AL)"/>
      <sheetName val="bünyetut (AL)"/>
      <sheetName val="miktar (AL)"/>
      <sheetName val="mik-tut (AL)"/>
      <sheetName val="fatura (AL)"/>
      <sheetName val="fifark(önger)"/>
      <sheetName val="miktar(önger)"/>
      <sheetName val="Elek-ffark"/>
      <sheetName val="ihzatut(agr)"/>
      <sheetName val="ihzatut (elek)"/>
      <sheetName val="ihzatut (dem)"/>
      <sheetName val="K-kroki-tut"/>
      <sheetName val="K kroki"/>
      <sheetName val="kroki(üst-agr)"/>
      <sheetName val="toprak-icm"/>
      <sheetName val="Bost-Küb"/>
      <sheetName val="san-icm"/>
      <sheetName val="sanatmetra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ybastı"/>
      <sheetName val="Bereketli"/>
      <sheetName val="Fatsa"/>
      <sheetName val="Gölköy"/>
      <sheetName val="Korgan"/>
      <sheetName val="Kumru"/>
      <sheetName val="Mesudiye"/>
      <sheetName val="Topçam"/>
      <sheetName val="Ulubey"/>
      <sheetName val="Bulancak"/>
      <sheetName val="Koyulhisar"/>
      <sheetName val="Ordu"/>
      <sheetName val="Ortakent"/>
      <sheetName val="Reşadiye"/>
      <sheetName val="Yavuzkemal"/>
      <sheetName val="Toplam Yağış"/>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mur"/>
    </sheetNames>
    <sheetDataSet>
      <sheetData sheetId="0"/>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ybastı"/>
    </sheetNames>
    <sheetDataSet>
      <sheetData sheetId="0"/>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ybastı"/>
      <sheetName val="Bereketli"/>
      <sheetName val="Fatsa"/>
      <sheetName val="Gölköy"/>
      <sheetName val="Korgan"/>
      <sheetName val="Kumru"/>
      <sheetName val="Mesudiye"/>
      <sheetName val="Topçam"/>
      <sheetName val="Ulubey"/>
      <sheetName val="Bulancak"/>
      <sheetName val="Koyulhisar"/>
      <sheetName val="Ordu"/>
      <sheetName val="Ortakent"/>
      <sheetName val="Reşadiye"/>
      <sheetName val="Yavuzkemal"/>
      <sheetName val="Ort Sıcaklık"/>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ybastı"/>
      <sheetName val="Bereketli"/>
      <sheetName val="Fatsa"/>
      <sheetName val="Gölköy"/>
      <sheetName val="Korgan"/>
      <sheetName val="Kumru"/>
      <sheetName val="Mesudiye"/>
      <sheetName val="Topçam"/>
      <sheetName val="Ulubey"/>
      <sheetName val="Bulancak"/>
      <sheetName val="Koyulhisar"/>
      <sheetName val="Ordu"/>
      <sheetName val="Ortakent"/>
      <sheetName val="Reşadiye"/>
      <sheetName val="Yavuzkemal"/>
      <sheetName val="Ort Sıcaklık"/>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1313E-E8D9-4854-B5AA-3A560FEDA0B5}">
  <sheetPr>
    <pageSetUpPr fitToPage="1"/>
  </sheetPr>
  <dimension ref="A1:T310"/>
  <sheetViews>
    <sheetView tabSelected="1" view="pageBreakPreview" zoomScale="60" zoomScaleNormal="50" workbookViewId="0">
      <selection activeCell="P19" sqref="P19"/>
    </sheetView>
  </sheetViews>
  <sheetFormatPr defaultRowHeight="14.25" x14ac:dyDescent="0.2"/>
  <cols>
    <col min="1" max="1" width="6.5703125" style="5" customWidth="1"/>
    <col min="2" max="15" width="8" style="5" customWidth="1"/>
    <col min="16" max="16384" width="9.140625" style="5"/>
  </cols>
  <sheetData>
    <row r="1" spans="1:15" ht="36.75" customHeight="1" x14ac:dyDescent="0.2">
      <c r="A1" s="1">
        <v>109</v>
      </c>
      <c r="B1" s="2" t="s">
        <v>0</v>
      </c>
      <c r="C1" s="3"/>
      <c r="D1" s="3"/>
      <c r="E1" s="3"/>
      <c r="F1" s="3"/>
      <c r="G1" s="3"/>
      <c r="H1" s="3"/>
      <c r="I1" s="3"/>
      <c r="J1" s="3"/>
      <c r="K1" s="3"/>
      <c r="L1" s="3"/>
      <c r="M1" s="3"/>
      <c r="N1" s="3"/>
      <c r="O1" s="4"/>
    </row>
    <row r="2" spans="1:15" s="11" customFormat="1" ht="12.75" x14ac:dyDescent="0.2">
      <c r="A2" s="1"/>
      <c r="B2" s="6"/>
      <c r="C2" s="7"/>
      <c r="D2" s="7"/>
      <c r="E2" s="7"/>
      <c r="F2" s="7"/>
      <c r="G2" s="7"/>
      <c r="H2" s="7"/>
      <c r="I2" s="7"/>
      <c r="J2" s="7"/>
      <c r="K2" s="7"/>
      <c r="L2" s="8"/>
      <c r="M2" s="9" t="s">
        <v>1</v>
      </c>
      <c r="N2" s="9"/>
      <c r="O2" s="10"/>
    </row>
    <row r="3" spans="1:15" s="15" customFormat="1" ht="13.5" thickBot="1" x14ac:dyDescent="0.3">
      <c r="A3" s="1"/>
      <c r="B3" s="12" t="s">
        <v>2</v>
      </c>
      <c r="C3" s="13" t="s">
        <v>3</v>
      </c>
      <c r="D3" s="13" t="s">
        <v>4</v>
      </c>
      <c r="E3" s="13" t="s">
        <v>5</v>
      </c>
      <c r="F3" s="13" t="s">
        <v>6</v>
      </c>
      <c r="G3" s="13" t="s">
        <v>7</v>
      </c>
      <c r="H3" s="13" t="s">
        <v>8</v>
      </c>
      <c r="I3" s="13" t="s">
        <v>9</v>
      </c>
      <c r="J3" s="13" t="s">
        <v>10</v>
      </c>
      <c r="K3" s="13" t="s">
        <v>11</v>
      </c>
      <c r="L3" s="13" t="s">
        <v>12</v>
      </c>
      <c r="M3" s="13" t="s">
        <v>13</v>
      </c>
      <c r="N3" s="13" t="s">
        <v>14</v>
      </c>
      <c r="O3" s="14" t="s">
        <v>15</v>
      </c>
    </row>
    <row r="4" spans="1:15" s="15" customFormat="1" ht="12.75" x14ac:dyDescent="0.25">
      <c r="A4" s="1"/>
      <c r="B4" s="16">
        <v>1974</v>
      </c>
      <c r="C4" s="17">
        <f>('[1]T 3.53'!C4*(308.24/322))</f>
        <v>0.3358766835279503</v>
      </c>
      <c r="D4" s="17">
        <f>('[1]T 3.53'!D4*(308.24/322))</f>
        <v>0.65008390360248447</v>
      </c>
      <c r="E4" s="17">
        <f>('[1]T 3.53'!E4*(308.24/322))</f>
        <v>1.6922031383850931</v>
      </c>
      <c r="F4" s="17">
        <f>('[1]T 3.53'!F4*(308.24/322))</f>
        <v>1.0948041516521736</v>
      </c>
      <c r="G4" s="17">
        <f>('[1]T 3.53'!G4*(308.24/322))</f>
        <v>1.7854976222608698</v>
      </c>
      <c r="H4" s="17">
        <f>('[1]T 3.53'!H4*(308.24/322))</f>
        <v>29.998146544099374</v>
      </c>
      <c r="I4" s="17">
        <f>('[1]T 3.53'!I4*(308.24/322))</f>
        <v>5.285033262111801</v>
      </c>
      <c r="J4" s="17">
        <f>('[1]T 3.53'!J4*(308.24/322))</f>
        <v>8.5379340163975161</v>
      </c>
      <c r="K4" s="17">
        <f>('[1]T 3.53'!K4*(308.24/322))</f>
        <v>1.9105519304347827</v>
      </c>
      <c r="L4" s="17">
        <f>('[1]T 3.53'!L4*(308.24/322))</f>
        <v>6.4098603726708087E-2</v>
      </c>
      <c r="M4" s="17">
        <f>('[1]T 3.53'!M4*(308.24/322))</f>
        <v>0</v>
      </c>
      <c r="N4" s="17">
        <f>('[1]T 3.53'!N4*(308.24/322))</f>
        <v>0.19849890186335403</v>
      </c>
      <c r="O4" s="18">
        <f>SUM(C4:N4)</f>
        <v>51.552728758062109</v>
      </c>
    </row>
    <row r="5" spans="1:15" s="15" customFormat="1" ht="12.75" x14ac:dyDescent="0.25">
      <c r="A5" s="1"/>
      <c r="B5" s="19">
        <f t="shared" ref="B5:B42" si="0">B4+1</f>
        <v>1975</v>
      </c>
      <c r="C5" s="20">
        <f>('[1]T 3.53'!C5*(308.24/322))</f>
        <v>0.49484122077018639</v>
      </c>
      <c r="D5" s="20">
        <f>('[1]T 3.53'!D5*(308.24/322))</f>
        <v>0.76670200844720493</v>
      </c>
      <c r="E5" s="20">
        <f>('[1]T 3.53'!E5*(308.24/322))</f>
        <v>1.4588842208198756</v>
      </c>
      <c r="F5" s="20">
        <f>('[1]T 3.53'!F5*(308.24/322))</f>
        <v>1.7870690719006208</v>
      </c>
      <c r="G5" s="20">
        <f>('[1]T 3.53'!G5*(308.24/322))</f>
        <v>2.1629763673043478</v>
      </c>
      <c r="H5" s="20">
        <f>('[1]T 3.53'!H5*(308.24/322))</f>
        <v>34.613246012422358</v>
      </c>
      <c r="I5" s="20">
        <f>('[1]T 3.53'!I5*(308.24/322))</f>
        <v>30.519206161490683</v>
      </c>
      <c r="J5" s="20">
        <f>('[1]T 3.53'!J5*(308.24/322))</f>
        <v>37.177190161490678</v>
      </c>
      <c r="K5" s="20">
        <f>('[1]T 3.53'!K5*(308.24/322))</f>
        <v>7.0715233788819871</v>
      </c>
      <c r="L5" s="20">
        <f>('[1]T 3.53'!L5*(308.24/322))</f>
        <v>0.71021252929192547</v>
      </c>
      <c r="M5" s="20">
        <f>('[1]T 3.53'!M5*(308.24/322))</f>
        <v>0.38202767821118011</v>
      </c>
      <c r="N5" s="20">
        <f>('[1]T 3.53'!N5*(308.24/322))</f>
        <v>0.97264461913043487</v>
      </c>
      <c r="O5" s="21">
        <f>SUM(C5:N5)</f>
        <v>118.11652343016146</v>
      </c>
    </row>
    <row r="6" spans="1:15" s="15" customFormat="1" ht="12.75" x14ac:dyDescent="0.25">
      <c r="A6" s="1"/>
      <c r="B6" s="19">
        <f t="shared" si="0"/>
        <v>1976</v>
      </c>
      <c r="C6" s="20">
        <f>('[1]T 3.53'!C6*(308.24/322))</f>
        <v>0.82302607185093168</v>
      </c>
      <c r="D6" s="20">
        <f>('[1]T 3.53'!D6*(308.24/322))</f>
        <v>1.4887417639751552</v>
      </c>
      <c r="E6" s="20">
        <f>('[1]T 3.53'!E6*(308.24/322))</f>
        <v>2.2947300134161495</v>
      </c>
      <c r="F6" s="20">
        <f>('[1]T 3.53'!F6*(308.24/322))</f>
        <v>2.0973063139378878</v>
      </c>
      <c r="G6" s="20">
        <f>('[1]T 3.53'!G6*(308.24/322))</f>
        <v>2.1418858589813663</v>
      </c>
      <c r="H6" s="20">
        <f>('[1]T 3.53'!H6*(308.24/322))</f>
        <v>11.999258617639752</v>
      </c>
      <c r="I6" s="20">
        <f>('[1]T 3.53'!I6*(308.24/322))</f>
        <v>14.118234395031058</v>
      </c>
      <c r="J6" s="20">
        <f>('[1]T 3.53'!J6*(308.24/322))</f>
        <v>4.5125417023602488</v>
      </c>
      <c r="K6" s="20">
        <f>('[1]T 3.53'!K6*(308.24/322))</f>
        <v>2.0892009421118014</v>
      </c>
      <c r="L6" s="20">
        <f>('[1]T 3.53'!L6*(308.24/322))</f>
        <v>0.28459780054658385</v>
      </c>
      <c r="M6" s="20">
        <f>('[1]T 3.53'!M6*(308.24/322))</f>
        <v>0</v>
      </c>
      <c r="N6" s="20">
        <f>('[1]T 3.53'!N6*(308.24/322))</f>
        <v>0</v>
      </c>
      <c r="O6" s="21">
        <f t="shared" ref="O6:O42" si="1">SUM(C6:N6)</f>
        <v>41.849523479850937</v>
      </c>
    </row>
    <row r="7" spans="1:15" s="15" customFormat="1" ht="12.75" x14ac:dyDescent="0.25">
      <c r="A7" s="1"/>
      <c r="B7" s="19">
        <f t="shared" si="0"/>
        <v>1977</v>
      </c>
      <c r="C7" s="20">
        <f>('[1]T 3.53'!C7*(308.24/322))</f>
        <v>0.81020635110559003</v>
      </c>
      <c r="D7" s="20">
        <f>('[1]T 3.53'!D7*(308.24/322))</f>
        <v>1.7840088804968943</v>
      </c>
      <c r="E7" s="20">
        <f>('[1]T 3.53'!E7*(308.24/322))</f>
        <v>9.9224638568944101</v>
      </c>
      <c r="F7" s="20">
        <f>('[1]T 3.53'!F7*(308.24/322))</f>
        <v>3.1536513033540374</v>
      </c>
      <c r="G7" s="20">
        <f>('[1]T 3.53'!G7*(308.24/322))</f>
        <v>11.139096709565216</v>
      </c>
      <c r="H7" s="20">
        <f>('[1]T 3.53'!H7*(308.24/322))</f>
        <v>11.717224761242235</v>
      </c>
      <c r="I7" s="20">
        <f>('[1]T 3.53'!I7*(308.24/322))</f>
        <v>11.810684660869565</v>
      </c>
      <c r="J7" s="20">
        <f>('[1]T 3.53'!J7*(308.24/322))</f>
        <v>5.3586432715527952</v>
      </c>
      <c r="K7" s="20">
        <f>('[1]T 3.53'!K7*(308.24/322))</f>
        <v>1.131443740621118</v>
      </c>
      <c r="L7" s="20">
        <f>('[1]T 3.53'!L7*(308.24/322))</f>
        <v>0.15896453724223603</v>
      </c>
      <c r="M7" s="20">
        <f>('[1]T 3.53'!M7*(308.24/322))</f>
        <v>0</v>
      </c>
      <c r="N7" s="20">
        <f>('[1]T 3.53'!N7*(308.24/322))</f>
        <v>0.12158057739130436</v>
      </c>
      <c r="O7" s="21">
        <f t="shared" si="1"/>
        <v>57.107968650335401</v>
      </c>
    </row>
    <row r="8" spans="1:15" s="15" customFormat="1" ht="12.75" x14ac:dyDescent="0.25">
      <c r="A8" s="1"/>
      <c r="B8" s="19">
        <f t="shared" si="0"/>
        <v>1978</v>
      </c>
      <c r="C8" s="20">
        <f>('[1]T 3.53'!C8*(308.24/322))</f>
        <v>0.56919560109316769</v>
      </c>
      <c r="D8" s="20">
        <f>('[1]T 3.53'!D8*(308.24/322))</f>
        <v>0.87835764074534162</v>
      </c>
      <c r="E8" s="20">
        <f>('[1]T 3.53'!E8*(308.24/322))</f>
        <v>0.99993821813664596</v>
      </c>
      <c r="F8" s="20">
        <f>('[1]T 3.53'!F8*(308.24/322))</f>
        <v>2.2793463485217389</v>
      </c>
      <c r="G8" s="20">
        <f>('[1]T 3.53'!G8*(308.24/322))</f>
        <v>20.633960848695651</v>
      </c>
      <c r="H8" s="20">
        <f>('[1]T 3.53'!H8*(308.24/322))</f>
        <v>22.383232421366461</v>
      </c>
      <c r="I8" s="20">
        <f>('[1]T 3.53'!I8*(308.24/322))</f>
        <v>26.052980869565218</v>
      </c>
      <c r="J8" s="20">
        <f>('[1]T 3.53'!J8*(308.24/322))</f>
        <v>10.101939947329193</v>
      </c>
      <c r="K8" s="20">
        <f>('[1]T 3.53'!K8*(308.24/322))</f>
        <v>2.9278588024844718</v>
      </c>
      <c r="L8" s="20">
        <f>('[1]T 3.53'!L8*(308.24/322))</f>
        <v>0.33074879522981371</v>
      </c>
      <c r="M8" s="20">
        <f>('[1]T 3.53'!M8*(308.24/322))</f>
        <v>0</v>
      </c>
      <c r="N8" s="20">
        <f>('[1]T 3.53'!N8*(308.24/322))</f>
        <v>6.4512143105590058E-2</v>
      </c>
      <c r="O8" s="21">
        <f t="shared" si="1"/>
        <v>87.222071636273284</v>
      </c>
    </row>
    <row r="9" spans="1:15" s="15" customFormat="1" ht="12.75" x14ac:dyDescent="0.25">
      <c r="A9" s="1"/>
      <c r="B9" s="19">
        <f t="shared" si="0"/>
        <v>1979</v>
      </c>
      <c r="C9" s="20">
        <f>('[1]T 3.53'!C9*(308.24/322))</f>
        <v>1.2153095266583849</v>
      </c>
      <c r="D9" s="20">
        <f>('[1]T 3.53'!D9*(308.24/322))</f>
        <v>1.2555055542857143</v>
      </c>
      <c r="E9" s="20">
        <f>('[1]T 3.53'!E9*(308.24/322))</f>
        <v>9.0250834047204975</v>
      </c>
      <c r="F9" s="20">
        <f>('[1]T 3.53'!F9*(308.24/322))</f>
        <v>14.511923883726707</v>
      </c>
      <c r="G9" s="20">
        <f>('[1]T 3.53'!G9*(308.24/322))</f>
        <v>20.819226490434783</v>
      </c>
      <c r="H9" s="20">
        <f>('[1]T 3.53'!H9*(308.24/322))</f>
        <v>16.40924255403727</v>
      </c>
      <c r="I9" s="20">
        <f>('[1]T 3.53'!I9*(308.24/322))</f>
        <v>9.205386573913044</v>
      </c>
      <c r="J9" s="20">
        <f>('[1]T 3.53'!J9*(308.24/322))</f>
        <v>3.9997528725465838</v>
      </c>
      <c r="K9" s="20">
        <f>('[1]T 3.53'!K9*(308.24/322))</f>
        <v>1.2629492631055901</v>
      </c>
      <c r="L9" s="20">
        <f>('[1]T 3.53'!L9*(308.24/322))</f>
        <v>0.3025454095900621</v>
      </c>
      <c r="M9" s="20">
        <f>('[1]T 3.53'!M9*(308.24/322))</f>
        <v>0.19998764362732918</v>
      </c>
      <c r="N9" s="20">
        <f>('[1]T 3.53'!N9*(308.24/322))</f>
        <v>2.4812362732919255E-3</v>
      </c>
      <c r="O9" s="21">
        <f t="shared" si="1"/>
        <v>78.209394412919266</v>
      </c>
    </row>
    <row r="10" spans="1:15" s="15" customFormat="1" ht="12.75" x14ac:dyDescent="0.25">
      <c r="A10" s="1"/>
      <c r="B10" s="19">
        <f t="shared" si="0"/>
        <v>1980</v>
      </c>
      <c r="C10" s="20">
        <f>('[1]T 3.53'!C10*(308.24/322))</f>
        <v>5.1278882981366456</v>
      </c>
      <c r="D10" s="20">
        <f>('[1]T 3.53'!D10*(308.24/322))</f>
        <v>2.7293599006211182</v>
      </c>
      <c r="E10" s="20">
        <f>('[1]T 3.53'!E10*(308.24/322))</f>
        <v>5.9739898673291929</v>
      </c>
      <c r="F10" s="20">
        <f>('[1]T 3.53'!F10*(308.24/322))</f>
        <v>3.2818485108074533</v>
      </c>
      <c r="G10" s="20">
        <f>('[1]T 3.53'!G10*(308.24/322))</f>
        <v>3.4778661763975154</v>
      </c>
      <c r="H10" s="20">
        <f>('[1]T 3.53'!H10*(308.24/322))</f>
        <v>20.152601011677017</v>
      </c>
      <c r="I10" s="20">
        <f>('[1]T 3.53'!I10*(308.24/322))</f>
        <v>22.777748988819877</v>
      </c>
      <c r="J10" s="20">
        <f>('[1]T 3.53'!J10*(308.24/322))</f>
        <v>15.947732607204969</v>
      </c>
      <c r="K10" s="20">
        <f>('[1]T 3.53'!K10*(308.24/322))</f>
        <v>2.9774835279503105</v>
      </c>
      <c r="L10" s="20">
        <f>('[1]T 3.53'!L10*(308.24/322))</f>
        <v>0.55637588034782604</v>
      </c>
      <c r="M10" s="20">
        <f>('[1]T 3.53'!M10*(308.24/322))</f>
        <v>3.8459162236024851E-2</v>
      </c>
      <c r="N10" s="20">
        <f>('[1]T 3.53'!N10*(308.24/322))</f>
        <v>0</v>
      </c>
      <c r="O10" s="21">
        <f t="shared" si="1"/>
        <v>83.041353931527951</v>
      </c>
    </row>
    <row r="11" spans="1:15" s="15" customFormat="1" ht="12.75" x14ac:dyDescent="0.25">
      <c r="A11" s="1"/>
      <c r="B11" s="19">
        <f t="shared" si="0"/>
        <v>1981</v>
      </c>
      <c r="C11" s="20">
        <f>('[1]T 3.53'!C11*(308.24/322))</f>
        <v>1.17685036442236</v>
      </c>
      <c r="D11" s="20">
        <f>('[1]T 3.53'!D11*(308.24/322))</f>
        <v>1.7691214628571428</v>
      </c>
      <c r="E11" s="20">
        <f>('[1]T 3.53'!E11*(308.24/322))</f>
        <v>2.4485666623602484</v>
      </c>
      <c r="F11" s="20">
        <f>('[1]T 3.53'!F11*(308.24/322))</f>
        <v>6.0509081918012431</v>
      </c>
      <c r="G11" s="20">
        <f>('[1]T 3.53'!G11*(308.24/322))</f>
        <v>9.6569715756521735</v>
      </c>
      <c r="H11" s="20">
        <f>('[1]T 3.53'!H11*(308.24/322))</f>
        <v>43.330656119254655</v>
      </c>
      <c r="I11" s="20">
        <f>('[1]T 3.53'!I11*(308.24/322))</f>
        <v>25.804857242236025</v>
      </c>
      <c r="J11" s="20">
        <f>('[1]T 3.53'!J11*(308.24/322))</f>
        <v>12.973557394285713</v>
      </c>
      <c r="K11" s="20">
        <f>('[1]T 3.53'!K11*(308.24/322))</f>
        <v>2.630110449689441</v>
      </c>
      <c r="L11" s="20">
        <f>('[1]T 3.53'!L11*(308.24/322))</f>
        <v>1.7768132953043476</v>
      </c>
      <c r="M11" s="20">
        <f>('[1]T 3.53'!M11*(308.24/322))</f>
        <v>0</v>
      </c>
      <c r="N11" s="20">
        <f>('[1]T 3.53'!N11*(308.24/322))</f>
        <v>7.1955851925465844E-2</v>
      </c>
      <c r="O11" s="21">
        <f t="shared" si="1"/>
        <v>107.69036860978883</v>
      </c>
    </row>
    <row r="12" spans="1:15" s="15" customFormat="1" ht="12.75" x14ac:dyDescent="0.25">
      <c r="A12" s="1"/>
      <c r="B12" s="19">
        <f t="shared" si="0"/>
        <v>1982</v>
      </c>
      <c r="C12" s="20">
        <f>('[1]T 3.53'!C12*(308.24/322))</f>
        <v>0.44869022608695641</v>
      </c>
      <c r="D12" s="20">
        <f>('[1]T 3.53'!D12*(308.24/322))</f>
        <v>1.6301722315527951</v>
      </c>
      <c r="E12" s="20">
        <f>('[1]T 3.53'!E12*(308.24/322))</f>
        <v>46.663783513043477</v>
      </c>
      <c r="F12" s="20">
        <f>('[1]T 3.53'!F12*(308.24/322))</f>
        <v>13.281230692173914</v>
      </c>
      <c r="G12" s="20">
        <f>('[1]T 3.53'!G12*(308.24/322))</f>
        <v>4.3769007860869564</v>
      </c>
      <c r="H12" s="20">
        <f>('[1]T 3.53'!H12*(308.24/322))</f>
        <v>11.383912021863356</v>
      </c>
      <c r="I12" s="20">
        <f>('[1]T 3.53'!I12*(308.24/322))</f>
        <v>24.192053664596273</v>
      </c>
      <c r="J12" s="20">
        <f>('[1]T 3.53'!J12*(308.24/322))</f>
        <v>10.948041516521737</v>
      </c>
      <c r="K12" s="20">
        <f>('[1]T 3.53'!K12*(308.24/322))</f>
        <v>5.2354085366459628</v>
      </c>
      <c r="L12" s="20">
        <f>('[1]T 3.53'!L12*(308.24/322))</f>
        <v>1.6563079202981368</v>
      </c>
      <c r="M12" s="20">
        <f>('[1]T 3.53'!M12*(308.24/322))</f>
        <v>3.3074879522981364</v>
      </c>
      <c r="N12" s="20">
        <f>('[1]T 3.53'!N12*(308.24/322))</f>
        <v>0.75181459080745339</v>
      </c>
      <c r="O12" s="21">
        <f t="shared" si="1"/>
        <v>123.87580365197515</v>
      </c>
    </row>
    <row r="13" spans="1:15" s="15" customFormat="1" ht="12.75" x14ac:dyDescent="0.25">
      <c r="A13" s="1"/>
      <c r="B13" s="19">
        <f t="shared" si="0"/>
        <v>1983</v>
      </c>
      <c r="C13" s="20">
        <f>('[1]T 3.53'!C13*(308.24/322))</f>
        <v>1.4614481649689439</v>
      </c>
      <c r="D13" s="20">
        <f>('[1]T 3.53'!D13*(308.24/322))</f>
        <v>0.91557618484472048</v>
      </c>
      <c r="E13" s="20">
        <f>('[1]T 3.53'!E13*(308.24/322))</f>
        <v>0.905072284621118</v>
      </c>
      <c r="F13" s="20">
        <f>('[1]T 3.53'!F13*(308.24/322))</f>
        <v>1.9562893857391301</v>
      </c>
      <c r="G13" s="20">
        <f>('[1]T 3.53'!G13*(308.24/322))</f>
        <v>3.1031994991304348</v>
      </c>
      <c r="H13" s="20">
        <f>('[1]T 3.53'!H13*(308.24/322))</f>
        <v>12.281292474037267</v>
      </c>
      <c r="I13" s="20">
        <f>('[1]T 3.53'!I13*(308.24/322))</f>
        <v>18.212274245962732</v>
      </c>
      <c r="J13" s="20">
        <f>('[1]T 3.53'!J13*(308.24/322))</f>
        <v>3.897195106583851</v>
      </c>
      <c r="K13" s="20">
        <f>('[1]T 3.53'!K13*(308.24/322))</f>
        <v>4.2429140273291921</v>
      </c>
      <c r="L13" s="20">
        <f>('[1]T 3.53'!L13*(308.24/322))</f>
        <v>3.5382429257142851</v>
      </c>
      <c r="M13" s="20">
        <f>('[1]T 3.53'!M13*(308.24/322))</f>
        <v>1.6383603112546583</v>
      </c>
      <c r="N13" s="20">
        <f>('[1]T 3.53'!N13*(308.24/322))</f>
        <v>0.42181016645962738</v>
      </c>
      <c r="O13" s="21">
        <f t="shared" si="1"/>
        <v>52.573674776645966</v>
      </c>
    </row>
    <row r="14" spans="1:15" s="15" customFormat="1" ht="12.75" x14ac:dyDescent="0.25">
      <c r="A14" s="1"/>
      <c r="B14" s="19">
        <f t="shared" si="0"/>
        <v>1984</v>
      </c>
      <c r="C14" s="20">
        <f>('[1]T 3.53'!C14*(308.24/322))</f>
        <v>0.70252069684472063</v>
      </c>
      <c r="D14" s="20">
        <f>('[1]T 3.53'!D14*(308.24/322))</f>
        <v>2.6797351751552796</v>
      </c>
      <c r="E14" s="20">
        <f>('[1]T 3.53'!E14*(308.24/322))</f>
        <v>3.9484739895652177</v>
      </c>
      <c r="F14" s="20">
        <f>('[1]T 3.53'!F14*(308.24/322))</f>
        <v>2.2331953538385094</v>
      </c>
      <c r="G14" s="20">
        <f>('[1]T 3.53'!G14*(308.24/322))</f>
        <v>3.5738073122981366</v>
      </c>
      <c r="H14" s="20">
        <f>('[1]T 3.53'!H14*(308.24/322))</f>
        <v>23.870320027826089</v>
      </c>
      <c r="I14" s="20">
        <f>('[1]T 3.53'!I14*(308.24/322))</f>
        <v>29.030464397515523</v>
      </c>
      <c r="J14" s="20">
        <f>('[1]T 3.53'!J14*(308.24/322))</f>
        <v>11.922340293167704</v>
      </c>
      <c r="K14" s="20">
        <f>('[1]T 3.53'!K14*(308.24/322))</f>
        <v>2.3497307508074532</v>
      </c>
      <c r="L14" s="20">
        <f>('[1]T 3.53'!L14*(308.24/322))</f>
        <v>0.21024342022360248</v>
      </c>
      <c r="M14" s="20">
        <f>('[1]T 3.53'!M14*(308.24/322))</f>
        <v>0.1435808723478261</v>
      </c>
      <c r="N14" s="20">
        <f>('[1]T 3.53'!N14*(308.24/322))</f>
        <v>0.15135541267080746</v>
      </c>
      <c r="O14" s="21">
        <f t="shared" si="1"/>
        <v>80.815767702260885</v>
      </c>
    </row>
    <row r="15" spans="1:15" s="15" customFormat="1" ht="12.75" x14ac:dyDescent="0.25">
      <c r="A15" s="1"/>
      <c r="B15" s="19">
        <f t="shared" si="0"/>
        <v>1985</v>
      </c>
      <c r="C15" s="20">
        <f>('[1]T 3.53'!C15*(308.24/322))</f>
        <v>0.22306314096894411</v>
      </c>
      <c r="D15" s="20">
        <f>('[1]T 3.53'!D15*(308.24/322))</f>
        <v>0.69970862906832298</v>
      </c>
      <c r="E15" s="20">
        <f>('[1]T 3.53'!E15*(308.24/322))</f>
        <v>0.73585197078260867</v>
      </c>
      <c r="F15" s="20">
        <f>('[1]T 3.53'!F15*(308.24/322))</f>
        <v>3.692079574658385</v>
      </c>
      <c r="G15" s="20">
        <f>('[1]T 3.53'!G15*(308.24/322))</f>
        <v>5.3263871999999992</v>
      </c>
      <c r="H15" s="20">
        <f>('[1]T 3.53'!H15*(308.24/322))</f>
        <v>16.8194736178882</v>
      </c>
      <c r="I15" s="20">
        <f>('[1]T 3.53'!I15*(308.24/322))</f>
        <v>22.703311900621117</v>
      </c>
      <c r="J15" s="20">
        <f>('[1]T 3.53'!J15*(308.24/322))</f>
        <v>5.3073643885714281</v>
      </c>
      <c r="K15" s="20">
        <f>('[1]T 3.53'!K15*(308.24/322))</f>
        <v>1.3795673679503107</v>
      </c>
      <c r="L15" s="20">
        <f>('[1]T 3.53'!L15*(308.24/322))</f>
        <v>0.27177807980124219</v>
      </c>
      <c r="M15" s="20">
        <f>('[1]T 3.53'!M15*(308.24/322))</f>
        <v>7.6918324472049684E-3</v>
      </c>
      <c r="N15" s="20">
        <f>('[1]T 3.53'!N15*(308.24/322))</f>
        <v>0</v>
      </c>
      <c r="O15" s="21">
        <f t="shared" si="1"/>
        <v>57.166277702757768</v>
      </c>
    </row>
    <row r="16" spans="1:15" s="15" customFormat="1" ht="12.75" x14ac:dyDescent="0.25">
      <c r="A16" s="1"/>
      <c r="B16" s="19">
        <f t="shared" si="0"/>
        <v>1986</v>
      </c>
      <c r="C16" s="20">
        <f>('[1]T 3.53'!C16*(308.24/322))</f>
        <v>0.20767947607453419</v>
      </c>
      <c r="D16" s="20">
        <f>('[1]T 3.53'!D16*(308.24/322))</f>
        <v>1.6574658305590064</v>
      </c>
      <c r="E16" s="20">
        <f>('[1]T 3.53'!E16*(308.24/322))</f>
        <v>1.499907327204969</v>
      </c>
      <c r="F16" s="20">
        <f>('[1]T 3.53'!F16*(308.24/322))</f>
        <v>7.2559619418633536</v>
      </c>
      <c r="G16" s="20">
        <f>('[1]T 3.53'!G16*(308.24/322))</f>
        <v>8.9853836243478256</v>
      </c>
      <c r="H16" s="20">
        <f>('[1]T 3.53'!H16*(308.24/322))</f>
        <v>14.665760532670808</v>
      </c>
      <c r="I16" s="20">
        <f>('[1]T 3.53'!I16*(308.24/322))</f>
        <v>5.3594703503105592</v>
      </c>
      <c r="J16" s="20">
        <f>('[1]T 3.53'!J16*(308.24/322))</f>
        <v>1.6229766463602484</v>
      </c>
      <c r="K16" s="20">
        <f>('[1]T 3.53'!K16*(308.24/322))</f>
        <v>5.4835321639751555</v>
      </c>
      <c r="L16" s="20">
        <f>('[1]T 3.53'!L16*(308.24/322))</f>
        <v>9.9993821813664591E-2</v>
      </c>
      <c r="M16" s="20">
        <f>('[1]T 3.53'!M16*(308.24/322))</f>
        <v>2.5639441490683231E-3</v>
      </c>
      <c r="N16" s="20">
        <f>('[1]T 3.53'!N16*(308.24/322))</f>
        <v>0.14639294012422358</v>
      </c>
      <c r="O16" s="21">
        <f t="shared" si="1"/>
        <v>46.987088599453415</v>
      </c>
    </row>
    <row r="17" spans="1:15" s="15" customFormat="1" ht="12.75" x14ac:dyDescent="0.25">
      <c r="A17" s="1"/>
      <c r="B17" s="19">
        <f t="shared" si="0"/>
        <v>1987</v>
      </c>
      <c r="C17" s="20">
        <f>('[1]T 3.53'!C17*(308.24/322))</f>
        <v>0.43843444949068328</v>
      </c>
      <c r="D17" s="20">
        <f>('[1]T 3.53'!D17*(308.24/322))</f>
        <v>0.55083445267080755</v>
      </c>
      <c r="E17" s="20">
        <f>('[1]T 3.53'!E17*(308.24/322))</f>
        <v>0.86661312238509325</v>
      </c>
      <c r="F17" s="20">
        <f>('[1]T 3.53'!F17*(308.24/322))</f>
        <v>6.9739280854658396</v>
      </c>
      <c r="G17" s="20">
        <f>('[1]T 3.53'!G17*(308.24/322))</f>
        <v>19.753949050434784</v>
      </c>
      <c r="H17" s="20">
        <f>('[1]T 3.53'!H17*(308.24/322))</f>
        <v>11.537748670807453</v>
      </c>
      <c r="I17" s="20">
        <f>('[1]T 3.53'!I17*(308.24/322))</f>
        <v>30.519206161490683</v>
      </c>
      <c r="J17" s="20">
        <f>('[1]T 3.53'!J17*(308.24/322))</f>
        <v>14.819597181614906</v>
      </c>
      <c r="K17" s="20">
        <f>('[1]T 3.53'!K17*(308.24/322))</f>
        <v>4.5158500173913039</v>
      </c>
      <c r="L17" s="20">
        <f>('[1]T 3.53'!L17*(308.24/322))</f>
        <v>0.8435376250434784</v>
      </c>
      <c r="M17" s="20">
        <f>('[1]T 3.53'!M17*(308.24/322))</f>
        <v>7.6918324472049684E-3</v>
      </c>
      <c r="N17" s="20">
        <f>('[1]T 3.53'!N17*(308.24/322))</f>
        <v>0</v>
      </c>
      <c r="O17" s="21">
        <f t="shared" si="1"/>
        <v>90.827390649242247</v>
      </c>
    </row>
    <row r="18" spans="1:15" s="15" customFormat="1" ht="12.75" x14ac:dyDescent="0.25">
      <c r="A18" s="1"/>
      <c r="B18" s="19">
        <f t="shared" si="0"/>
        <v>1988</v>
      </c>
      <c r="C18" s="20">
        <f>('[1]T 3.53'!C18*(308.24/322))</f>
        <v>0.49227727662111798</v>
      </c>
      <c r="D18" s="20">
        <f>('[1]T 3.53'!D18*(308.24/322))</f>
        <v>1.0371567622360247</v>
      </c>
      <c r="E18" s="20">
        <f>('[1]T 3.53'!E18*(308.24/322))</f>
        <v>3.0254540959006215</v>
      </c>
      <c r="F18" s="20">
        <f>('[1]T 3.53'!F18*(308.24/322))</f>
        <v>1.9024465586086956</v>
      </c>
      <c r="G18" s="20">
        <f>('[1]T 3.53'!G18*(308.24/322))</f>
        <v>1.9787859279503106</v>
      </c>
      <c r="H18" s="20">
        <f>('[1]T 3.53'!H18*(308.24/322))</f>
        <v>12.640244654906832</v>
      </c>
      <c r="I18" s="20">
        <f>('[1]T 3.53'!I18*(308.24/322))</f>
        <v>29.526711652173912</v>
      </c>
      <c r="J18" s="20">
        <f>('[1]T 3.53'!J18*(308.24/322))</f>
        <v>5.7432348939130442</v>
      </c>
      <c r="K18" s="20">
        <f>('[1]T 3.53'!K18*(308.24/322))</f>
        <v>8.2128920645962733</v>
      </c>
      <c r="L18" s="20">
        <f>('[1]T 3.53'!L18*(308.24/322))</f>
        <v>1.4127332261366461</v>
      </c>
      <c r="M18" s="20">
        <f>('[1]T 3.53'!M18*(308.24/322))</f>
        <v>0</v>
      </c>
      <c r="N18" s="20">
        <f>('[1]T 3.53'!N18*(308.24/322))</f>
        <v>0.24316115478260872</v>
      </c>
      <c r="O18" s="21">
        <f t="shared" si="1"/>
        <v>66.215098267826093</v>
      </c>
    </row>
    <row r="19" spans="1:15" s="15" customFormat="1" ht="12.75" x14ac:dyDescent="0.25">
      <c r="A19" s="1"/>
      <c r="B19" s="19">
        <f t="shared" si="0"/>
        <v>1989</v>
      </c>
      <c r="C19" s="20">
        <f>('[1]T 3.53'!C19*(308.24/322))</f>
        <v>1.1665945878260868</v>
      </c>
      <c r="D19" s="20">
        <f>('[1]T 3.53'!D19*(308.24/322))</f>
        <v>3.32485660621118</v>
      </c>
      <c r="E19" s="20">
        <f>('[1]T 3.53'!E19*(308.24/322))</f>
        <v>11.35827258037267</v>
      </c>
      <c r="F19" s="20">
        <f>('[1]T 3.53'!F19*(308.24/322))</f>
        <v>2.2613987394782611</v>
      </c>
      <c r="G19" s="20">
        <f>('[1]T 3.53'!G19*(308.24/322))</f>
        <v>2.7558264208695653</v>
      </c>
      <c r="H19" s="20">
        <f>('[1]T 3.53'!H19*(308.24/322))</f>
        <v>11.691585319751551</v>
      </c>
      <c r="I19" s="20">
        <f>('[1]T 3.53'!I19*(308.24/322))</f>
        <v>3.4241060571428568</v>
      </c>
      <c r="J19" s="20">
        <f>('[1]T 3.53'!J19*(308.24/322))</f>
        <v>1.6229766463602484</v>
      </c>
      <c r="K19" s="20">
        <f>('[1]T 3.53'!K19*(308.24/322))</f>
        <v>1.0520441798757765</v>
      </c>
      <c r="L19" s="20">
        <f>('[1]T 3.53'!L19*(308.24/322))</f>
        <v>5.1278882981366458E-2</v>
      </c>
      <c r="M19" s="20">
        <f>('[1]T 3.53'!M19*(308.24/322))</f>
        <v>1.7947609043478262E-2</v>
      </c>
      <c r="N19" s="20">
        <f>('[1]T 3.53'!N19*(308.24/322))</f>
        <v>0</v>
      </c>
      <c r="O19" s="21">
        <f t="shared" si="1"/>
        <v>38.726887629913044</v>
      </c>
    </row>
    <row r="20" spans="1:15" s="15" customFormat="1" ht="12.75" x14ac:dyDescent="0.25">
      <c r="A20" s="1"/>
      <c r="B20" s="19">
        <f t="shared" si="0"/>
        <v>1990</v>
      </c>
      <c r="C20" s="20">
        <f>('[1]T 3.53'!C20*(308.24/322))</f>
        <v>0.68200914365217391</v>
      </c>
      <c r="D20" s="20">
        <f>('[1]T 3.53'!D20*(308.24/322))</f>
        <v>5.8557176049689437</v>
      </c>
      <c r="E20" s="20">
        <f>('[1]T 3.53'!E20*(308.24/322))</f>
        <v>11.05059928248447</v>
      </c>
      <c r="F20" s="20">
        <f>('[1]T 3.53'!F20*(308.24/322))</f>
        <v>4.2817867289440992</v>
      </c>
      <c r="G20" s="20">
        <f>('[1]T 3.53'!G20*(308.24/322))</f>
        <v>4.0295277078260865</v>
      </c>
      <c r="H20" s="20">
        <f>('[1]T 3.53'!H20*(308.24/322))</f>
        <v>19.84492771378882</v>
      </c>
      <c r="I20" s="20">
        <f>('[1]T 3.53'!I20*(308.24/322))</f>
        <v>21.810066842236022</v>
      </c>
      <c r="J20" s="20">
        <f>('[1]T 3.53'!J20*(308.24/322))</f>
        <v>8.0507846280745348</v>
      </c>
      <c r="K20" s="20">
        <f>('[1]T 3.53'!K20*(308.24/322))</f>
        <v>2.5804857242236023</v>
      </c>
      <c r="L20" s="20">
        <f>('[1]T 3.53'!L20*(308.24/322))</f>
        <v>0.29228963299378885</v>
      </c>
      <c r="M20" s="20">
        <f>('[1]T 3.53'!M20*(308.24/322))</f>
        <v>0.11024959840993789</v>
      </c>
      <c r="N20" s="20">
        <f>('[1]T 3.53'!N20*(308.24/322))</f>
        <v>0</v>
      </c>
      <c r="O20" s="21">
        <f t="shared" si="1"/>
        <v>78.588444607602483</v>
      </c>
    </row>
    <row r="21" spans="1:15" s="15" customFormat="1" ht="12.75" x14ac:dyDescent="0.25">
      <c r="A21" s="1"/>
      <c r="B21" s="19">
        <f t="shared" si="0"/>
        <v>1991</v>
      </c>
      <c r="C21" s="20">
        <f>('[1]T 3.53'!C21*(308.24/322))</f>
        <v>0.62560237237267069</v>
      </c>
      <c r="D21" s="20">
        <f>('[1]T 3.53'!D21*(308.24/322))</f>
        <v>0.95279472894409933</v>
      </c>
      <c r="E21" s="20">
        <f>('[1]T 3.53'!E21*(308.24/322))</f>
        <v>3.0254540959006215</v>
      </c>
      <c r="F21" s="20">
        <f>('[1]T 3.53'!F21*(308.24/322))</f>
        <v>0.92814778196273284</v>
      </c>
      <c r="G21" s="20">
        <f>('[1]T 3.53'!G21*(308.24/322))</f>
        <v>1.6581274935652173</v>
      </c>
      <c r="H21" s="20">
        <f>('[1]T 3.53'!H21*(308.24/322))</f>
        <v>10.127579388819875</v>
      </c>
      <c r="I21" s="20">
        <f>('[1]T 3.53'!I21*(308.24/322))</f>
        <v>8.1632673391304351</v>
      </c>
      <c r="J21" s="20">
        <f>('[1]T 3.53'!J21*(308.24/322))</f>
        <v>4.4099839363975155</v>
      </c>
      <c r="K21" s="20">
        <f>('[1]T 3.53'!K21*(308.24/322))</f>
        <v>2.5804857242236023</v>
      </c>
      <c r="L21" s="20">
        <f>('[1]T 3.53'!L21*(308.24/322))</f>
        <v>0.1538366489440994</v>
      </c>
      <c r="M21" s="20">
        <f>('[1]T 3.53'!M21*(308.24/322))</f>
        <v>0</v>
      </c>
      <c r="N21" s="20">
        <f>('[1]T 3.53'!N21*(308.24/322))</f>
        <v>0</v>
      </c>
      <c r="O21" s="21">
        <f t="shared" si="1"/>
        <v>32.625279510260867</v>
      </c>
    </row>
    <row r="22" spans="1:15" s="15" customFormat="1" ht="12.75" x14ac:dyDescent="0.25">
      <c r="A22" s="1"/>
      <c r="B22" s="19">
        <f t="shared" si="0"/>
        <v>1992</v>
      </c>
      <c r="C22" s="20">
        <f>('[1]T 3.53'!C22*(308.24/322))</f>
        <v>0.93071172611180131</v>
      </c>
      <c r="D22" s="20">
        <f>('[1]T 3.53'!D22*(308.24/322))</f>
        <v>0.74188964571428573</v>
      </c>
      <c r="E22" s="20">
        <f>('[1]T 3.53'!E22*(308.24/322))</f>
        <v>0.77687507716770188</v>
      </c>
      <c r="F22" s="20">
        <f>('[1]T 3.53'!F22*(308.24/322))</f>
        <v>0.5897071542857143</v>
      </c>
      <c r="G22" s="20">
        <f>('[1]T 3.53'!G22*(308.24/322))</f>
        <v>1.139300988819876</v>
      </c>
      <c r="H22" s="20">
        <f>('[1]T 3.53'!H22*(308.24/322))</f>
        <v>8.3071790429813657</v>
      </c>
      <c r="I22" s="20">
        <f>('[1]T 3.53'!I22*(308.24/322))</f>
        <v>53.594703503105599</v>
      </c>
      <c r="J22" s="20">
        <f>('[1]T 3.53'!J22*(308.24/322))</f>
        <v>9.819906090931676</v>
      </c>
      <c r="K22" s="20">
        <f>('[1]T 3.53'!K22*(308.24/322))</f>
        <v>3.6722296844720499</v>
      </c>
      <c r="L22" s="20">
        <f>('[1]T 3.53'!L22*(308.24/322))</f>
        <v>3.9741134310559003</v>
      </c>
      <c r="M22" s="20">
        <f>('[1]T 3.53'!M22*(308.24/322))</f>
        <v>0</v>
      </c>
      <c r="N22" s="20">
        <f>('[1]T 3.53'!N22*(308.24/322))</f>
        <v>9.924945093167702E-3</v>
      </c>
      <c r="O22" s="21">
        <f t="shared" si="1"/>
        <v>83.55654128973913</v>
      </c>
    </row>
    <row r="23" spans="1:15" s="15" customFormat="1" ht="12.75" x14ac:dyDescent="0.25">
      <c r="A23" s="1"/>
      <c r="B23" s="19">
        <f t="shared" si="0"/>
        <v>1993</v>
      </c>
      <c r="C23" s="20">
        <f>('[1]T 3.53'!C23*(308.24/322))</f>
        <v>0.51022488566459634</v>
      </c>
      <c r="D23" s="20">
        <f>('[1]T 3.53'!D23*(308.24/322))</f>
        <v>1.6376159403726709</v>
      </c>
      <c r="E23" s="20">
        <f>('[1]T 3.53'!E23*(308.24/322))</f>
        <v>2.5177931543850938</v>
      </c>
      <c r="F23" s="20">
        <f>('[1]T 3.53'!F23*(308.24/322))</f>
        <v>2.0383355985093168</v>
      </c>
      <c r="G23" s="20">
        <f>('[1]T 3.53'!G23*(308.24/322))</f>
        <v>2.0981333926956522</v>
      </c>
      <c r="H23" s="20">
        <f>('[1]T 3.53'!H23*(308.24/322))</f>
        <v>17.870690719006213</v>
      </c>
      <c r="I23" s="20">
        <f>('[1]T 3.53'!I23*(308.24/322))</f>
        <v>26.052980869565218</v>
      </c>
      <c r="J23" s="20">
        <f>('[1]T 3.53'!J23*(308.24/322))</f>
        <v>17.332262447701861</v>
      </c>
      <c r="K23" s="20">
        <f>('[1]T 3.53'!K23*(308.24/322))</f>
        <v>3.4985431453416149</v>
      </c>
      <c r="L23" s="20">
        <f>('[1]T 3.53'!L23*(308.24/322))</f>
        <v>0.36664401331677016</v>
      </c>
      <c r="M23" s="20">
        <f>('[1]T 3.53'!M23*(308.24/322))</f>
        <v>2.0511553192546585E-2</v>
      </c>
      <c r="N23" s="20">
        <f>('[1]T 3.53'!N23*(308.24/322))</f>
        <v>0</v>
      </c>
      <c r="O23" s="21">
        <f t="shared" si="1"/>
        <v>73.943735719751558</v>
      </c>
    </row>
    <row r="24" spans="1:15" s="15" customFormat="1" ht="12.75" x14ac:dyDescent="0.25">
      <c r="A24" s="1"/>
      <c r="B24" s="19">
        <f t="shared" si="0"/>
        <v>1994</v>
      </c>
      <c r="C24" s="20">
        <f>('[1]T 3.53'!C24*(308.24/322))</f>
        <v>9.2301989366459614E-2</v>
      </c>
      <c r="D24" s="20">
        <f>('[1]T 3.53'!D24*(308.24/322))</f>
        <v>0.79647684372670802</v>
      </c>
      <c r="E24" s="20">
        <f>('[1]T 3.53'!E24*(308.24/322))</f>
        <v>2.5101013219378876</v>
      </c>
      <c r="F24" s="20">
        <f>('[1]T 3.53'!F24*(308.24/322))</f>
        <v>2.7177807980124222</v>
      </c>
      <c r="G24" s="20">
        <f>('[1]T 3.53'!G24*(308.24/322))</f>
        <v>1.7924450838260872</v>
      </c>
      <c r="H24" s="20">
        <f>('[1]T 3.53'!H24*(308.24/322))</f>
        <v>8.6917706653416165</v>
      </c>
      <c r="I24" s="20">
        <f>('[1]T 3.53'!I24*(308.24/322))</f>
        <v>6.1534659577639754</v>
      </c>
      <c r="J24" s="20">
        <f>('[1]T 3.53'!J24*(308.24/322))</f>
        <v>6.7431731120496892</v>
      </c>
      <c r="K24" s="20">
        <f>('[1]T 3.53'!K24*(308.24/322))</f>
        <v>0.38955409490683229</v>
      </c>
      <c r="L24" s="20">
        <f>('[1]T 3.53'!L24*(308.24/322))</f>
        <v>5.3842827130434784E-2</v>
      </c>
      <c r="M24" s="20">
        <f>('[1]T 3.53'!M24*(308.24/322))</f>
        <v>2.8203385639751548E-2</v>
      </c>
      <c r="N24" s="20">
        <f>('[1]T 3.53'!N24*(308.24/322))</f>
        <v>1.2406181366459627E-2</v>
      </c>
      <c r="O24" s="21">
        <f t="shared" si="1"/>
        <v>29.981522261068324</v>
      </c>
    </row>
    <row r="25" spans="1:15" s="15" customFormat="1" ht="12.75" x14ac:dyDescent="0.25">
      <c r="A25" s="1"/>
      <c r="B25" s="19">
        <f t="shared" si="0"/>
        <v>1995</v>
      </c>
      <c r="C25" s="20">
        <f>('[1]T 3.53'!C25*(308.24/322))</f>
        <v>7.6918324472049684E-3</v>
      </c>
      <c r="D25" s="20">
        <f>('[1]T 3.53'!D25*(308.24/322))</f>
        <v>0.99249450931677008</v>
      </c>
      <c r="E25" s="20">
        <f>('[1]T 3.53'!E25*(308.24/322))</f>
        <v>1.3204312367701863</v>
      </c>
      <c r="F25" s="20">
        <f>('[1]T 3.53'!F25*(308.24/322))</f>
        <v>8.076424069565217</v>
      </c>
      <c r="G25" s="20">
        <f>('[1]T 3.53'!G25*(308.24/322))</f>
        <v>5.6969184834782611</v>
      </c>
      <c r="H25" s="20">
        <f>('[1]T 3.53'!H25*(308.24/322))</f>
        <v>16.845113059378882</v>
      </c>
      <c r="I25" s="20">
        <f>('[1]T 3.53'!I25*(308.24/322))</f>
        <v>23.373245694409938</v>
      </c>
      <c r="J25" s="20">
        <f>('[1]T 3.53'!J25*(308.24/322))</f>
        <v>4.3074261704347823</v>
      </c>
      <c r="K25" s="20">
        <f>('[1]T 3.53'!K25*(308.24/322))</f>
        <v>1.2728742081987581</v>
      </c>
      <c r="L25" s="20">
        <f>('[1]T 3.53'!L25*(308.24/322))</f>
        <v>1.3794019521987579</v>
      </c>
      <c r="M25" s="20">
        <f>('[1]T 3.53'!M25*(308.24/322))</f>
        <v>7.4354380322981362E-2</v>
      </c>
      <c r="N25" s="20">
        <f>('[1]T 3.53'!N25*(308.24/322))</f>
        <v>2.9774835279503104E-2</v>
      </c>
      <c r="O25" s="21">
        <f t="shared" si="1"/>
        <v>63.376150431801236</v>
      </c>
    </row>
    <row r="26" spans="1:15" s="15" customFormat="1" ht="12.75" x14ac:dyDescent="0.25">
      <c r="A26" s="1"/>
      <c r="B26" s="19">
        <f t="shared" si="0"/>
        <v>1996</v>
      </c>
      <c r="C26" s="20">
        <f>('[1]T 3.53'!C26*(308.24/322))</f>
        <v>0.35638823672049696</v>
      </c>
      <c r="D26" s="20">
        <f>('[1]T 3.53'!D26*(308.24/322))</f>
        <v>6.8978368397515517</v>
      </c>
      <c r="E26" s="20">
        <f>('[1]T 3.53'!E26*(308.24/322))</f>
        <v>5.7945137768944086</v>
      </c>
      <c r="F26" s="20">
        <f>('[1]T 3.53'!F26*(308.24/322))</f>
        <v>7.435438032298137</v>
      </c>
      <c r="G26" s="20">
        <f>('[1]T 3.53'!G26*(308.24/322))</f>
        <v>8.8985403547826092</v>
      </c>
      <c r="H26" s="20">
        <f>('[1]T 3.53'!H26*(308.24/322))</f>
        <v>11.486469787826088</v>
      </c>
      <c r="I26" s="20">
        <f>('[1]T 3.53'!I26*(308.24/322))</f>
        <v>23.770243498136647</v>
      </c>
      <c r="J26" s="20">
        <f>('[1]T 3.53'!J26*(308.24/322))</f>
        <v>9.6404300004968935</v>
      </c>
      <c r="K26" s="20">
        <f>('[1]T 3.53'!K26*(308.24/322))</f>
        <v>3.7218544099378881</v>
      </c>
      <c r="L26" s="20">
        <f>('[1]T 3.53'!L26*(308.24/322))</f>
        <v>0.3153651303354037</v>
      </c>
      <c r="M26" s="20">
        <f>('[1]T 3.53'!M26*(308.24/322))</f>
        <v>7.179043617391305E-2</v>
      </c>
      <c r="N26" s="20">
        <f>('[1]T 3.53'!N26*(308.24/322))</f>
        <v>0.43421634782608692</v>
      </c>
      <c r="O26" s="21">
        <f t="shared" si="1"/>
        <v>78.823086851180122</v>
      </c>
    </row>
    <row r="27" spans="1:15" s="15" customFormat="1" ht="12.75" x14ac:dyDescent="0.25">
      <c r="A27" s="1"/>
      <c r="B27" s="19">
        <f t="shared" si="0"/>
        <v>1997</v>
      </c>
      <c r="C27" s="20">
        <f>('[1]T 3.53'!C27*(308.24/322))</f>
        <v>1.3050475718757764</v>
      </c>
      <c r="D27" s="20">
        <f>('[1]T 3.53'!D27*(308.24/322))</f>
        <v>1.2158057739130437</v>
      </c>
      <c r="E27" s="20">
        <f>('[1]T 3.53'!E27*(308.24/322))</f>
        <v>3.4869640427329198</v>
      </c>
      <c r="F27" s="20">
        <f>('[1]T 3.53'!F27*(308.24/322))</f>
        <v>5.9739898673291929</v>
      </c>
      <c r="G27" s="20">
        <f>('[1]T 3.53'!G27*(308.24/322))</f>
        <v>2.8484592417391306</v>
      </c>
      <c r="H27" s="20">
        <f>('[1]T 3.53'!H27*(308.24/322))</f>
        <v>3.3331273937888199</v>
      </c>
      <c r="I27" s="20">
        <f>('[1]T 3.53'!I27*(308.24/322))</f>
        <v>29.030464397515523</v>
      </c>
      <c r="J27" s="20">
        <f>('[1]T 3.53'!J27*(308.24/322))</f>
        <v>13.537625107080745</v>
      </c>
      <c r="K27" s="20">
        <f>('[1]T 3.53'!K27*(308.24/322))</f>
        <v>2.2604062449689444</v>
      </c>
      <c r="L27" s="20">
        <f>('[1]T 3.53'!L27*(308.24/322))</f>
        <v>0.54868404790062109</v>
      </c>
      <c r="M27" s="20">
        <f>('[1]T 3.53'!M27*(308.24/322))</f>
        <v>1.7306623006211181</v>
      </c>
      <c r="N27" s="20">
        <f>('[1]T 3.53'!N27*(308.24/322))</f>
        <v>0.20346137440993789</v>
      </c>
      <c r="O27" s="21">
        <f t="shared" si="1"/>
        <v>65.474697363875777</v>
      </c>
    </row>
    <row r="28" spans="1:15" s="15" customFormat="1" ht="12.75" x14ac:dyDescent="0.25">
      <c r="A28" s="1"/>
      <c r="B28" s="19">
        <f t="shared" si="0"/>
        <v>1998</v>
      </c>
      <c r="C28" s="20">
        <f>('[1]T 3.53'!C28*(308.24/322))</f>
        <v>1.8793710612670806</v>
      </c>
      <c r="D28" s="20">
        <f>('[1]T 3.53'!D28*(308.24/322))</f>
        <v>3.8459162236024844</v>
      </c>
      <c r="E28" s="20">
        <f>('[1]T 3.53'!E28*(308.24/322))</f>
        <v>14.973433830559006</v>
      </c>
      <c r="F28" s="20">
        <f>('[1]T 3.53'!F28*(308.24/322))</f>
        <v>4.9996910906832301</v>
      </c>
      <c r="G28" s="20">
        <f>('[1]T 3.53'!G28*(308.24/322))</f>
        <v>9.7032879860869574</v>
      </c>
      <c r="H28" s="20">
        <f>('[1]T 3.53'!H28*(308.24/322))</f>
        <v>12.306931915527951</v>
      </c>
      <c r="I28" s="20">
        <f>('[1]T 3.53'!I28*(308.24/322))</f>
        <v>22.628874812422357</v>
      </c>
      <c r="J28" s="20">
        <f>('[1]T 3.53'!J28*(308.24/322))</f>
        <v>13.614543431552793</v>
      </c>
      <c r="K28" s="20">
        <f>('[1]T 3.53'!K28*(308.24/322))</f>
        <v>7.0963357416149071</v>
      </c>
      <c r="L28" s="20">
        <f>('[1]T 3.53'!L28*(308.24/322))</f>
        <v>0.72816013833540372</v>
      </c>
      <c r="M28" s="20">
        <f>('[1]T 3.53'!M28*(308.24/322))</f>
        <v>0.11281354255900619</v>
      </c>
      <c r="N28" s="20">
        <f>('[1]T 3.53'!N28*(308.24/322))</f>
        <v>0.13646799503105589</v>
      </c>
      <c r="O28" s="21">
        <f t="shared" si="1"/>
        <v>92.025827769242227</v>
      </c>
    </row>
    <row r="29" spans="1:15" s="15" customFormat="1" ht="12.75" x14ac:dyDescent="0.25">
      <c r="A29" s="1"/>
      <c r="B29" s="19">
        <f t="shared" si="0"/>
        <v>1999</v>
      </c>
      <c r="C29" s="20">
        <f>('[1]T 3.53'!C29*(308.24/322))</f>
        <v>0.59483504258385089</v>
      </c>
      <c r="D29" s="20">
        <f>('[1]T 3.53'!D29*(308.24/322))</f>
        <v>1.0396379985093167</v>
      </c>
      <c r="E29" s="20">
        <f>('[1]T 3.53'!E29*(308.24/322))</f>
        <v>3.8715556650931675</v>
      </c>
      <c r="F29" s="20">
        <f>('[1]T 3.53'!F29*(308.24/322))</f>
        <v>2.6152230320496894</v>
      </c>
      <c r="G29" s="20">
        <f>('[1]T 3.53'!G29*(308.24/322))</f>
        <v>7.2022018226086955</v>
      </c>
      <c r="H29" s="20">
        <f>('[1]T 3.53'!H29*(308.24/322))</f>
        <v>23.972877793788822</v>
      </c>
      <c r="I29" s="20">
        <f>('[1]T 3.53'!I29*(308.24/322))</f>
        <v>29.774835279503105</v>
      </c>
      <c r="J29" s="20">
        <f>('[1]T 3.53'!J29*(308.24/322))</f>
        <v>4.8458544417391307</v>
      </c>
      <c r="K29" s="20">
        <f>('[1]T 3.53'!K29*(308.24/322))</f>
        <v>2.0370949803726708</v>
      </c>
      <c r="L29" s="20">
        <f>('[1]T 3.53'!L29*(308.24/322))</f>
        <v>0.41792289629813667</v>
      </c>
      <c r="M29" s="20">
        <f>('[1]T 3.53'!M29*(308.24/322))</f>
        <v>0.44869022608695641</v>
      </c>
      <c r="N29" s="20">
        <f>('[1]T 3.53'!N29*(308.24/322))</f>
        <v>0.82377044273291933</v>
      </c>
      <c r="O29" s="21">
        <f t="shared" si="1"/>
        <v>77.644499621366464</v>
      </c>
    </row>
    <row r="30" spans="1:15" s="15" customFormat="1" ht="12.75" x14ac:dyDescent="0.25">
      <c r="A30" s="1"/>
      <c r="B30" s="19">
        <f t="shared" si="0"/>
        <v>2000</v>
      </c>
      <c r="C30" s="20">
        <f>('[1]T 3.53'!C30*(308.24/322))</f>
        <v>0.76405535642236022</v>
      </c>
      <c r="D30" s="20">
        <f>('[1]T 3.53'!D30*(308.24/322))</f>
        <v>0.93294483875776402</v>
      </c>
      <c r="E30" s="20">
        <f>('[1]T 3.53'!E30*(308.24/322))</f>
        <v>6.358581489689441</v>
      </c>
      <c r="F30" s="20">
        <f>('[1]T 3.53'!F30*(308.24/322))</f>
        <v>4.6150994683229811</v>
      </c>
      <c r="G30" s="20">
        <f>('[1]T 3.53'!G30*(308.24/322))</f>
        <v>3.4059103244720497</v>
      </c>
      <c r="H30" s="20">
        <f>('[1]T 3.53'!H30*(308.24/322))</f>
        <v>13.101754601739131</v>
      </c>
      <c r="I30" s="20">
        <f>('[1]T 3.53'!I30*(308.24/322))</f>
        <v>33.992936944099377</v>
      </c>
      <c r="J30" s="20">
        <f>('[1]T 3.53'!J30*(308.24/322))</f>
        <v>9.4609539100621109</v>
      </c>
      <c r="K30" s="20">
        <f>('[1]T 3.53'!K30*(308.24/322))</f>
        <v>4.4414129291925466</v>
      </c>
      <c r="L30" s="20">
        <f>('[1]T 3.53'!L30*(308.24/322))</f>
        <v>0.35895218086956526</v>
      </c>
      <c r="M30" s="20">
        <f>('[1]T 3.53'!M30*(308.24/322))</f>
        <v>6.1534659577639747E-2</v>
      </c>
      <c r="N30" s="20">
        <f>('[1]T 3.53'!N30*(308.24/322))</f>
        <v>0.18857395677018635</v>
      </c>
      <c r="O30" s="21">
        <f t="shared" si="1"/>
        <v>77.682710659975172</v>
      </c>
    </row>
    <row r="31" spans="1:15" s="15" customFormat="1" ht="12.75" x14ac:dyDescent="0.25">
      <c r="A31" s="1"/>
      <c r="B31" s="19">
        <f t="shared" si="0"/>
        <v>2001</v>
      </c>
      <c r="C31" s="20">
        <f>('[1]T 3.53'!C31*(308.24/322))</f>
        <v>0.54659950310559002</v>
      </c>
      <c r="D31" s="20">
        <f>('[1]T 3.53'!D31*(308.24/322))</f>
        <v>0.84239503105590063</v>
      </c>
      <c r="E31" s="20">
        <f>('[1]T 3.53'!E31*(308.24/322))</f>
        <v>0.90940372670807446</v>
      </c>
      <c r="F31" s="20">
        <f>('[1]T 3.53'!F31*(308.24/322))</f>
        <v>1.2348745341614906</v>
      </c>
      <c r="G31" s="20">
        <f>('[1]T 3.53'!G31*(308.24/322))</f>
        <v>1.5412000000000001</v>
      </c>
      <c r="H31" s="20">
        <f>('[1]T 3.53'!H31*(308.24/322))</f>
        <v>7.0933490683229818</v>
      </c>
      <c r="I31" s="20">
        <f>('[1]T 3.53'!I31*(308.24/322))</f>
        <v>4.1545391304347827</v>
      </c>
      <c r="J31" s="20">
        <f>('[1]T 3.53'!J31*(308.24/322))</f>
        <v>5.3128322981366454</v>
      </c>
      <c r="K31" s="20">
        <f>('[1]T 3.53'!K31*(308.24/322))</f>
        <v>0.62126633540372678</v>
      </c>
      <c r="L31" s="20">
        <f>('[1]T 3.53'!L31*(308.24/322))</f>
        <v>4.977788819875776E-2</v>
      </c>
      <c r="M31" s="20">
        <f>('[1]T 3.53'!M31*(308.24/322))</f>
        <v>0.10721391304347826</v>
      </c>
      <c r="N31" s="20">
        <f>('[1]T 3.53'!N31*(308.24/322))</f>
        <v>2.8718012422360249E-3</v>
      </c>
      <c r="O31" s="21">
        <f t="shared" si="1"/>
        <v>22.416323229813663</v>
      </c>
    </row>
    <row r="32" spans="1:15" s="15" customFormat="1" ht="12.75" x14ac:dyDescent="0.25">
      <c r="A32" s="1"/>
      <c r="B32" s="19">
        <f t="shared" si="0"/>
        <v>2002</v>
      </c>
      <c r="C32" s="20">
        <f>('[1]T 3.53'!C32*(308.24/322))</f>
        <v>2.1059875776397514E-2</v>
      </c>
      <c r="D32" s="20">
        <f>('[1]T 3.53'!D32*(308.24/322))</f>
        <v>0.91801913043478256</v>
      </c>
      <c r="E32" s="20">
        <f>('[1]T 3.53'!E32*(308.24/322))</f>
        <v>12.540198757763974</v>
      </c>
      <c r="F32" s="20">
        <f>('[1]T 3.53'!F32*(308.24/322))</f>
        <v>10.338484472049689</v>
      </c>
      <c r="G32" s="20">
        <f>('[1]T 3.53'!G32*(308.24/322))</f>
        <v>9.1227552795031048</v>
      </c>
      <c r="H32" s="20">
        <f>('[1]T 3.53'!H32*(308.24/322))</f>
        <v>25.176124223602486</v>
      </c>
      <c r="I32" s="20">
        <f>('[1]T 3.53'!I32*(308.24/322))</f>
        <v>34.748795031055899</v>
      </c>
      <c r="J32" s="20">
        <f>('[1]T 3.53'!J32*(308.24/322))</f>
        <v>7.3709565217391306</v>
      </c>
      <c r="K32" s="20">
        <f>('[1]T 3.53'!K32*(308.24/322))</f>
        <v>2.1729962732919255</v>
      </c>
      <c r="L32" s="20">
        <f>('[1]T 3.53'!L32*(308.24/322))</f>
        <v>0.72943751552795033</v>
      </c>
      <c r="M32" s="20">
        <f>('[1]T 3.53'!M32*(308.24/322))</f>
        <v>0.58010385093167705</v>
      </c>
      <c r="N32" s="20">
        <f>('[1]T 3.53'!N32*(308.24/322))</f>
        <v>1.4837639751552796</v>
      </c>
      <c r="O32" s="21">
        <f t="shared" si="1"/>
        <v>105.20269490683231</v>
      </c>
    </row>
    <row r="33" spans="1:20" s="15" customFormat="1" ht="12.75" x14ac:dyDescent="0.25">
      <c r="A33" s="1"/>
      <c r="B33" s="19">
        <f t="shared" si="0"/>
        <v>2003</v>
      </c>
      <c r="C33" s="22">
        <f>('[1]T 3.53'!C33*(308.24/322))</f>
        <v>3.1339517040993794</v>
      </c>
      <c r="D33" s="22">
        <f>('[1]T 3.53'!D33*(308.24/322))</f>
        <v>3.3807484635279508</v>
      </c>
      <c r="E33" s="22">
        <f>('[1]T 3.53'!E33*(308.24/322))</f>
        <v>3.1017608224347826</v>
      </c>
      <c r="F33" s="22">
        <f>('[1]T 3.53'!F33*(308.24/322))</f>
        <v>3.1017608224347826</v>
      </c>
      <c r="G33" s="22">
        <f>('[1]T 3.53'!G33*(308.24/322))</f>
        <v>5.1941681306335408</v>
      </c>
      <c r="H33" s="22">
        <f>('[1]T 3.53'!H33*(308.24/322))</f>
        <v>4.4108566767950306</v>
      </c>
      <c r="I33" s="22">
        <f>('[1]T 3.53'!I33*(308.24/322))</f>
        <v>5.183437836745342</v>
      </c>
      <c r="J33" s="22">
        <f>('[1]T 3.53'!J33*(308.24/322))</f>
        <v>4.174790211254658</v>
      </c>
      <c r="K33" s="22">
        <f>('[1]T 3.53'!K33*(308.24/322))</f>
        <v>1.5565985025341615</v>
      </c>
      <c r="L33" s="22">
        <f>('[1]T 3.53'!L33*(308.24/322))</f>
        <v>1.3312623308819878</v>
      </c>
      <c r="M33" s="22">
        <f>('[1]T 3.53'!M33*(308.24/322))</f>
        <v>0.96643233868322975</v>
      </c>
      <c r="N33" s="22">
        <f>('[1]T 3.53'!N33*(308.24/322))</f>
        <v>0.88058998757763984</v>
      </c>
      <c r="O33" s="21">
        <f t="shared" si="1"/>
        <v>36.416357827602489</v>
      </c>
    </row>
    <row r="34" spans="1:20" s="15" customFormat="1" ht="12.75" x14ac:dyDescent="0.25">
      <c r="A34" s="1"/>
      <c r="B34" s="23">
        <f t="shared" si="0"/>
        <v>2004</v>
      </c>
      <c r="C34" s="22">
        <f>('[1]T 3.53'!C34*(308.24/322))</f>
        <v>1.7031225949852751</v>
      </c>
      <c r="D34" s="22">
        <f>('[1]T 3.53'!D34*(308.24/322))</f>
        <v>1.7081080469917407</v>
      </c>
      <c r="E34" s="22">
        <f>('[1]T 3.53'!E34*(308.24/322))</f>
        <v>2.0950926946222848</v>
      </c>
      <c r="F34" s="22">
        <f>('[1]T 3.53'!F34*(308.24/322))</f>
        <v>7.388967903648104</v>
      </c>
      <c r="G34" s="22">
        <f>('[1]T 3.53'!G34*(308.24/322))</f>
        <v>11.06524481135572</v>
      </c>
      <c r="H34" s="22">
        <f>('[1]T 3.53'!H34*(308.24/322))</f>
        <v>13.760151010363305</v>
      </c>
      <c r="I34" s="22">
        <f>('[1]T 3.53'!I34*(308.24/322))</f>
        <v>3.4372398640519868</v>
      </c>
      <c r="J34" s="22">
        <f>('[1]T 3.53'!J34*(308.24/322))</f>
        <v>2.1117708777747572</v>
      </c>
      <c r="K34" s="22">
        <f>('[1]T 3.53'!K34*(308.24/322))</f>
        <v>2.8749927748957718</v>
      </c>
      <c r="L34" s="22">
        <f>('[1]T 3.53'!L34*(308.24/322))</f>
        <v>0.55709773225250769</v>
      </c>
      <c r="M34" s="22">
        <f>('[1]T 3.53'!M34*(308.24/322))</f>
        <v>0.49702570645593241</v>
      </c>
      <c r="N34" s="22">
        <f>('[1]T 3.53'!N34*(308.24/322))</f>
        <v>0.72596067016114718</v>
      </c>
      <c r="O34" s="21">
        <f t="shared" si="1"/>
        <v>47.924774687558539</v>
      </c>
    </row>
    <row r="35" spans="1:20" s="15" customFormat="1" ht="12.75" x14ac:dyDescent="0.25">
      <c r="A35" s="1"/>
      <c r="B35" s="23">
        <f t="shared" si="0"/>
        <v>2005</v>
      </c>
      <c r="C35" s="22">
        <f>('[1]T 3.53'!C35*(308.24/322))</f>
        <v>0.96746731658261631</v>
      </c>
      <c r="D35" s="22">
        <f>('[1]T 3.53'!D35*(308.24/322))</f>
        <v>1.383889258519279</v>
      </c>
      <c r="E35" s="22">
        <f>('[1]T 3.53'!E35*(308.24/322))</f>
        <v>1.9622917759501028</v>
      </c>
      <c r="F35" s="22">
        <f>('[1]T 3.53'!F35*(308.24/322))</f>
        <v>2.298243753916581</v>
      </c>
      <c r="G35" s="22">
        <f>('[1]T 3.53'!G35*(308.24/322))</f>
        <v>5.9405308561210459</v>
      </c>
      <c r="H35" s="22">
        <f>('[1]T 3.53'!H35*(308.24/322))</f>
        <v>17.212865806521339</v>
      </c>
      <c r="I35" s="22">
        <f>('[1]T 3.53'!I35*(308.24/322))</f>
        <v>14.284103700655811</v>
      </c>
      <c r="J35" s="22">
        <f>('[1]T 3.53'!J35*(308.24/322))</f>
        <v>2.8605616320663185</v>
      </c>
      <c r="K35" s="22">
        <f>('[1]T 3.53'!K35*(308.24/322))</f>
        <v>2.25881514249952</v>
      </c>
      <c r="L35" s="22">
        <f>('[1]T 3.53'!L35*(308.24/322))</f>
        <v>0.72171490833029839</v>
      </c>
      <c r="M35" s="22">
        <f>('[1]T 3.53'!M35*(308.24/322))</f>
        <v>0.61170431055645391</v>
      </c>
      <c r="N35" s="22">
        <f>('[1]T 3.53'!N35*(308.24/322))</f>
        <v>0.64729266619851455</v>
      </c>
      <c r="O35" s="21">
        <f t="shared" si="1"/>
        <v>51.149481127917888</v>
      </c>
    </row>
    <row r="36" spans="1:20" s="24" customFormat="1" ht="12.75" x14ac:dyDescent="0.2">
      <c r="A36" s="1"/>
      <c r="B36" s="23">
        <f t="shared" si="0"/>
        <v>2006</v>
      </c>
      <c r="C36" s="22">
        <f>('[1]T 3.53'!C36*(308.24/322))</f>
        <v>0.97458490982380186</v>
      </c>
      <c r="D36" s="22">
        <f>('[1]T 3.53'!D36*(308.24/322))</f>
        <v>1.7432403252563871</v>
      </c>
      <c r="E36" s="22">
        <f>('[1]T 3.53'!E36*(308.24/322))</f>
        <v>2.0322254296199076</v>
      </c>
      <c r="F36" s="22">
        <f>('[1]T 3.53'!F36*(308.24/322))</f>
        <v>1.7179114536565159</v>
      </c>
      <c r="G36" s="22">
        <f>('[1]T 3.53'!G36*(308.24/322))</f>
        <v>4.8374932666090125</v>
      </c>
      <c r="H36" s="22">
        <f>('[1]T 3.53'!H36*(308.24/322))</f>
        <v>19.456031245380487</v>
      </c>
      <c r="I36" s="22">
        <f>('[1]T 3.53'!I36*(308.24/322))</f>
        <v>5.0152378253044816</v>
      </c>
      <c r="J36" s="22">
        <f>('[1]T 3.53'!J36*(308.24/322))</f>
        <v>2.3138134032087461</v>
      </c>
      <c r="K36" s="22">
        <f>('[1]T 3.53'!K36*(308.24/322))</f>
        <v>1.3749053471633705</v>
      </c>
      <c r="L36" s="22">
        <f>('[1]T 3.53'!L36*(308.24/322))</f>
        <v>1.0922274279421977</v>
      </c>
      <c r="M36" s="22">
        <f>('[1]T 3.53'!M36*(308.24/322))</f>
        <v>1.1321509833849344</v>
      </c>
      <c r="N36" s="22">
        <f>('[1]T 3.53'!N36*(308.24/322))</f>
        <v>1.2949827798416373</v>
      </c>
      <c r="O36" s="21">
        <f t="shared" si="1"/>
        <v>42.984804397191482</v>
      </c>
    </row>
    <row r="37" spans="1:20" x14ac:dyDescent="0.2">
      <c r="B37" s="23">
        <f t="shared" si="0"/>
        <v>2007</v>
      </c>
      <c r="C37" s="22">
        <f>('[1]T 3.53'!C37*(308.24/322))</f>
        <v>2.4989012381847338</v>
      </c>
      <c r="D37" s="22">
        <f>('[1]T 3.53'!D37*(308.24/322))</f>
        <v>2.0864067127587913</v>
      </c>
      <c r="E37" s="22">
        <f>('[1]T 3.53'!E37*(308.24/322))</f>
        <v>1.6324595719950123</v>
      </c>
      <c r="F37" s="22">
        <f>('[1]T 3.53'!F37*(308.24/322))</f>
        <v>2.2286359365650257</v>
      </c>
      <c r="G37" s="22">
        <f>('[1]T 3.53'!G37*(308.24/322))</f>
        <v>4.5913232944516587</v>
      </c>
      <c r="H37" s="22">
        <f>('[1]T 3.53'!H37*(308.24/322))</f>
        <v>6.5628815966764114</v>
      </c>
      <c r="I37" s="22">
        <f>('[1]T 3.53'!I37*(308.24/322))</f>
        <v>2.5578927515868966</v>
      </c>
      <c r="J37" s="22">
        <f>('[1]T 3.53'!J37*(308.24/322))</f>
        <v>1.7898163534203513</v>
      </c>
      <c r="K37" s="22">
        <f>('[1]T 3.53'!K37*(308.24/322))</f>
        <v>0.74952956398945758</v>
      </c>
      <c r="L37" s="22">
        <f>('[1]T 3.53'!L37*(308.24/322))</f>
        <v>0.57859516003855493</v>
      </c>
      <c r="M37" s="22">
        <f>('[1]T 3.53'!M37*(308.24/322))</f>
        <v>0.56872545622944159</v>
      </c>
      <c r="N37" s="22">
        <f>('[1]T 3.53'!N37*(308.24/322))</f>
        <v>0.57568662122236636</v>
      </c>
      <c r="O37" s="21">
        <f t="shared" si="1"/>
        <v>26.420854257118705</v>
      </c>
    </row>
    <row r="38" spans="1:20" x14ac:dyDescent="0.2">
      <c r="B38" s="23">
        <f t="shared" si="0"/>
        <v>2008</v>
      </c>
      <c r="C38" s="22">
        <f>('[1]T 3.53'!C38*(308.24/322))</f>
        <v>0.70682184630121692</v>
      </c>
      <c r="D38" s="22">
        <f>('[1]T 3.53'!D38*(308.24/322))</f>
        <v>2.2258853151793647</v>
      </c>
      <c r="E38" s="25">
        <v>2.1859999999999999</v>
      </c>
      <c r="F38" s="25">
        <v>0.78000000000000114</v>
      </c>
      <c r="G38" s="25">
        <v>0.35899999999999999</v>
      </c>
      <c r="H38" s="25">
        <v>17.096</v>
      </c>
      <c r="I38" s="25">
        <v>9.4750000000000014</v>
      </c>
      <c r="J38" s="25">
        <v>1.5310000000000024</v>
      </c>
      <c r="K38" s="25">
        <v>0.29499999999999815</v>
      </c>
      <c r="L38" s="25">
        <v>0.15599999999999881</v>
      </c>
      <c r="M38" s="25">
        <v>6.0999999999999943E-2</v>
      </c>
      <c r="N38" s="25">
        <v>0.33499999999999996</v>
      </c>
      <c r="O38" s="21">
        <f t="shared" si="1"/>
        <v>35.206707161480587</v>
      </c>
    </row>
    <row r="39" spans="1:20" x14ac:dyDescent="0.2">
      <c r="B39" s="23">
        <f t="shared" si="0"/>
        <v>2009</v>
      </c>
      <c r="C39" s="25">
        <v>0.73899999999999988</v>
      </c>
      <c r="D39" s="25">
        <v>0.91500000000000092</v>
      </c>
      <c r="E39" s="25">
        <v>0.14999999999999991</v>
      </c>
      <c r="F39" s="25">
        <v>4.6660000000000004</v>
      </c>
      <c r="G39" s="25">
        <v>10.127000000000001</v>
      </c>
      <c r="H39" s="25">
        <v>14.898999999999999</v>
      </c>
      <c r="I39" s="25">
        <v>30.337999999999997</v>
      </c>
      <c r="J39" s="25">
        <v>8</v>
      </c>
      <c r="K39" s="25">
        <v>1.2299999999999969</v>
      </c>
      <c r="L39" s="25">
        <v>0.19500000000000028</v>
      </c>
      <c r="M39" s="25">
        <v>0.17000000000000171</v>
      </c>
      <c r="N39" s="25">
        <v>0.242999999999995</v>
      </c>
      <c r="O39" s="21">
        <f t="shared" si="1"/>
        <v>71.671999999999983</v>
      </c>
    </row>
    <row r="40" spans="1:20" x14ac:dyDescent="0.2">
      <c r="B40" s="23">
        <f t="shared" si="0"/>
        <v>2010</v>
      </c>
      <c r="C40" s="25">
        <v>0.22800000000000509</v>
      </c>
      <c r="D40" s="25">
        <v>0.81099999999999994</v>
      </c>
      <c r="E40" s="25">
        <v>13.393000000000004</v>
      </c>
      <c r="F40" s="25">
        <v>8.2070000000000007</v>
      </c>
      <c r="G40" s="25">
        <v>33.474000000000004</v>
      </c>
      <c r="H40" s="25">
        <v>16.585999999999999</v>
      </c>
      <c r="I40" s="25">
        <v>6.8100000000000023</v>
      </c>
      <c r="J40" s="25">
        <v>1.3759999999999906</v>
      </c>
      <c r="K40" s="25">
        <v>1.563999999999993</v>
      </c>
      <c r="L40" s="25">
        <v>0.48300000000000409</v>
      </c>
      <c r="M40" s="25">
        <v>0.17100000000000648</v>
      </c>
      <c r="N40" s="25">
        <v>0.10099999999999909</v>
      </c>
      <c r="O40" s="21">
        <f t="shared" si="1"/>
        <v>83.204000000000008</v>
      </c>
    </row>
    <row r="41" spans="1:20" x14ac:dyDescent="0.2">
      <c r="B41" s="23">
        <f t="shared" si="0"/>
        <v>2011</v>
      </c>
      <c r="C41" s="25">
        <v>2.9650000000000034</v>
      </c>
      <c r="D41" s="25">
        <v>1.117999999999995</v>
      </c>
      <c r="E41" s="25">
        <v>17.610000000000007</v>
      </c>
      <c r="F41" s="25">
        <v>6.4689999999999941</v>
      </c>
      <c r="G41" s="25">
        <v>4.4899999999999949</v>
      </c>
      <c r="H41" s="25">
        <v>12.987000000000009</v>
      </c>
      <c r="I41" s="25">
        <v>12.23299999999999</v>
      </c>
      <c r="J41" s="25">
        <v>5.8770000000000095</v>
      </c>
      <c r="K41" s="25">
        <v>3.203000000000003</v>
      </c>
      <c r="L41" s="25">
        <v>0.36499999999999488</v>
      </c>
      <c r="M41" s="25">
        <v>0.41200000000000614</v>
      </c>
      <c r="N41" s="25">
        <v>0.12999999999999545</v>
      </c>
      <c r="O41" s="21">
        <f t="shared" si="1"/>
        <v>67.858999999999995</v>
      </c>
    </row>
    <row r="42" spans="1:20" ht="15" thickBot="1" x14ac:dyDescent="0.25">
      <c r="B42" s="26">
        <f t="shared" si="0"/>
        <v>2012</v>
      </c>
      <c r="C42" s="27">
        <v>0.6010000000000062</v>
      </c>
      <c r="D42" s="27">
        <v>0.48199999999999754</v>
      </c>
      <c r="E42" s="27">
        <v>1.2910000000000004</v>
      </c>
      <c r="F42" s="27">
        <v>1.5039999999999996</v>
      </c>
      <c r="G42" s="27">
        <v>0.41000000000000014</v>
      </c>
      <c r="H42" s="27">
        <v>14.392999999999999</v>
      </c>
      <c r="I42" s="27">
        <v>42.64</v>
      </c>
      <c r="J42" s="27">
        <v>3.5480000000000089</v>
      </c>
      <c r="K42" s="27">
        <v>0.60999999999999943</v>
      </c>
      <c r="L42" s="27">
        <v>0.24399999999999977</v>
      </c>
      <c r="M42" s="27">
        <v>0.1489999999999938</v>
      </c>
      <c r="N42" s="27">
        <v>0.31700000000000017</v>
      </c>
      <c r="O42" s="28">
        <f t="shared" si="1"/>
        <v>66.189000000000021</v>
      </c>
    </row>
    <row r="43" spans="1:20" x14ac:dyDescent="0.2">
      <c r="B43" s="29" t="s">
        <v>15</v>
      </c>
      <c r="C43" s="30">
        <f>SUM(C4:C42)</f>
        <v>38.527650343790704</v>
      </c>
      <c r="D43" s="30">
        <f t="shared" ref="D43:N43" si="2">SUM(D4:D42)</f>
        <v>66.341210218631034</v>
      </c>
      <c r="E43" s="30">
        <f t="shared" si="2"/>
        <v>217.4090240186469</v>
      </c>
      <c r="F43" s="30">
        <f t="shared" si="2"/>
        <v>168.01989060592288</v>
      </c>
      <c r="G43" s="30">
        <f t="shared" si="2"/>
        <v>261.29728998898474</v>
      </c>
      <c r="H43" s="30">
        <f t="shared" si="2"/>
        <v>621.01562707114033</v>
      </c>
      <c r="I43" s="30">
        <f t="shared" si="2"/>
        <v>757.76406186157431</v>
      </c>
      <c r="J43" s="30">
        <f t="shared" si="2"/>
        <v>302.52250322038316</v>
      </c>
      <c r="K43" s="30">
        <f t="shared" si="2"/>
        <v>106.53544197108228</v>
      </c>
      <c r="L43" s="30">
        <f t="shared" si="2"/>
        <v>27.360798615843063</v>
      </c>
      <c r="M43" s="30">
        <f t="shared" si="2"/>
        <v>13.83096547993112</v>
      </c>
      <c r="N43" s="30">
        <f t="shared" si="2"/>
        <v>11.72195217444229</v>
      </c>
      <c r="O43" s="31">
        <f>SUM(O19:O40)</f>
        <v>1315.0473813112922</v>
      </c>
    </row>
    <row r="44" spans="1:20" ht="15" thickBot="1" x14ac:dyDescent="0.25">
      <c r="B44" s="32" t="s">
        <v>16</v>
      </c>
      <c r="C44" s="33">
        <f>AVERAGE(C4:C42)</f>
        <v>0.98788847035360783</v>
      </c>
      <c r="D44" s="33">
        <f t="shared" ref="D44:N44" si="3">AVERAGE(D4:D42)</f>
        <v>1.7010566722725906</v>
      </c>
      <c r="E44" s="33">
        <f t="shared" si="3"/>
        <v>5.5745903594524844</v>
      </c>
      <c r="F44" s="33">
        <f t="shared" si="3"/>
        <v>4.3082023232287918</v>
      </c>
      <c r="G44" s="33">
        <f t="shared" si="3"/>
        <v>6.6999305125380699</v>
      </c>
      <c r="H44" s="33">
        <f t="shared" si="3"/>
        <v>15.923477617208727</v>
      </c>
      <c r="I44" s="33">
        <f t="shared" si="3"/>
        <v>19.429847740040366</v>
      </c>
      <c r="J44" s="33">
        <f t="shared" si="3"/>
        <v>7.7569872620611067</v>
      </c>
      <c r="K44" s="33">
        <f t="shared" si="3"/>
        <v>2.7316779992585198</v>
      </c>
      <c r="L44" s="33">
        <f t="shared" si="3"/>
        <v>0.70155893886777088</v>
      </c>
      <c r="M44" s="33">
        <f t="shared" si="3"/>
        <v>0.35464014051105436</v>
      </c>
      <c r="N44" s="33">
        <f t="shared" si="3"/>
        <v>0.30056287626775102</v>
      </c>
      <c r="O44" s="34">
        <f>SUM(C44:N44)</f>
        <v>66.470420912060845</v>
      </c>
    </row>
    <row r="46" spans="1:20" ht="15" customHeight="1" x14ac:dyDescent="0.25">
      <c r="B46" s="35" t="s">
        <v>17</v>
      </c>
      <c r="C46" s="36"/>
      <c r="D46" s="36"/>
      <c r="E46" s="36"/>
      <c r="F46" s="36"/>
      <c r="G46" s="36"/>
      <c r="H46" s="36"/>
      <c r="I46" s="36"/>
      <c r="J46" s="36"/>
      <c r="K46" s="36"/>
      <c r="L46" s="36"/>
      <c r="M46" s="36"/>
      <c r="N46" s="36"/>
      <c r="O46" s="36"/>
      <c r="P46" s="37"/>
      <c r="Q46" s="37"/>
      <c r="R46" s="37"/>
      <c r="S46" s="37"/>
      <c r="T46" s="37"/>
    </row>
    <row r="47" spans="1:20" x14ac:dyDescent="0.2">
      <c r="A47" s="38"/>
      <c r="B47" s="38" t="s">
        <v>18</v>
      </c>
      <c r="C47" s="39"/>
      <c r="D47" s="39"/>
      <c r="E47" s="39"/>
      <c r="F47" s="39"/>
      <c r="G47" s="39"/>
      <c r="H47" s="39"/>
      <c r="I47" s="39"/>
      <c r="J47" s="39"/>
      <c r="K47" s="39"/>
      <c r="L47" s="39"/>
      <c r="M47" s="39"/>
      <c r="N47" s="39"/>
      <c r="O47" s="39"/>
    </row>
    <row r="262" spans="18:18" x14ac:dyDescent="0.2">
      <c r="R262" s="40"/>
    </row>
    <row r="263" spans="18:18" x14ac:dyDescent="0.2">
      <c r="R263" s="40"/>
    </row>
    <row r="264" spans="18:18" x14ac:dyDescent="0.2">
      <c r="R264" s="40"/>
    </row>
    <row r="298" spans="18:18" x14ac:dyDescent="0.2">
      <c r="R298" s="40"/>
    </row>
    <row r="299" spans="18:18" x14ac:dyDescent="0.2">
      <c r="R299" s="40"/>
    </row>
    <row r="300" spans="18:18" x14ac:dyDescent="0.2">
      <c r="R300" s="40"/>
    </row>
    <row r="302" spans="18:18" x14ac:dyDescent="0.2">
      <c r="R302" s="40"/>
    </row>
    <row r="303" spans="18:18" x14ac:dyDescent="0.2">
      <c r="R303" s="40"/>
    </row>
    <row r="310" spans="20:20" x14ac:dyDescent="0.2">
      <c r="T310" s="41"/>
    </row>
  </sheetData>
  <mergeCells count="6">
    <mergeCell ref="A1:A36"/>
    <mergeCell ref="B1:O1"/>
    <mergeCell ref="B2:K2"/>
    <mergeCell ref="M2:O2"/>
    <mergeCell ref="B46:O46"/>
    <mergeCell ref="P46:T46"/>
  </mergeCells>
  <pageMargins left="0.9055118110236221" right="0.51181102362204722" top="0.74803149606299213" bottom="0.55118110236220474" header="0.31496062992125984" footer="0.31496062992125984"/>
  <pageSetup paperSize="9" scale="73" orientation="portrait" r:id="rId1"/>
  <headerFooter>
    <oddFooter xml:space="preserve">&amp;R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KAVŞAKKAYA</vt:lpstr>
      <vt:lpstr>KAVŞAKKAYA!Print_Area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Umair Naeem</dc:creator>
  <cp:lastModifiedBy>Mohammad Umair Naeem</cp:lastModifiedBy>
  <dcterms:created xsi:type="dcterms:W3CDTF">2026-10-19T12:19:33Z</dcterms:created>
  <dcterms:modified xsi:type="dcterms:W3CDTF">2026-10-19T12:19:49Z</dcterms:modified>
</cp:coreProperties>
</file>